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olden set" sheetId="1" state="visible" r:id="rId3"/>
    <sheet name="Summary" sheetId="2" state="visible" r:id="rId4"/>
    <sheet name="Legend" sheetId="3" state="visible" r:id="rId5"/>
  </sheets>
  <definedNames>
    <definedName function="false" hidden="true" localSheetId="0" name="_xlnm._FilterDatabase" vbProcedure="false">'Golden set'!$A$1:$K$64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<sst xmlns="http://schemas.openxmlformats.org/spreadsheetml/2006/main" count="537" uniqueCount="399">
  <si>
    <t xml:space="preserve">ID</t>
  </si>
  <si>
    <t xml:space="preserve">Set</t>
  </si>
  <si>
    <t xml:space="preserve">Stratum</t>
  </si>
  <si>
    <t xml:space="preserve">Question</t>
  </si>
  <si>
    <t xml:space="preserve">Core answer (enough for "correct")</t>
  </si>
  <si>
    <t xml:space="preserve">Full reference answer</t>
  </si>
  <si>
    <t xml:space="preserve">Your verdict</t>
  </si>
  <si>
    <t xml:space="preserve">Your fix</t>
  </si>
  <si>
    <t xml:space="preserve">Expected element(s)</t>
  </si>
  <si>
    <t xml:space="preserve">Link to the answer</t>
  </si>
  <si>
    <t xml:space="preserve">Evidence in the archive</t>
  </si>
  <si>
    <t xml:space="preserve">G-001</t>
  </si>
  <si>
    <t xml:space="preserve">main</t>
  </si>
  <si>
    <t xml:space="preserve">single-fact</t>
  </si>
  <si>
    <t xml:space="preserve">How does the run budget estimate how many tokens a run has spent, given that the AI provider doesn't report usage?</t>
  </si>
  <si>
    <t xml:space="preserve">Estimates from output length: ceil(text length / 4).</t>
  </si>
  <si>
    <t xml:space="preserve">It estimates from output length: estimateTokens(text) = ceil(len/4) over the response text; exact usage is deferred and the estimate is an accepted risk.</t>
  </si>
  <si>
    <t xml:space="preserve">specs/040-run-budget/design.html#D-001</t>
  </si>
  <si>
    <t xml:space="preserve">The AIProvider returns only text ( claude.ts:71,131 ) — no usage to read. Decision estimateTokens(text) = ceil(len/4) ;</t>
  </si>
  <si>
    <t xml:space="preserve">G-002</t>
  </si>
  <si>
    <t xml:space="preserve">How does spectastic add trailers to its automatic commits: does it assemble the commit-message footer itself?</t>
  </si>
  <si>
    <t xml:space="preserve">No; it passes one git --trailer flag per trailer and lets git build the footer.</t>
  </si>
  <si>
    <t xml:space="preserve">No. run.commit appends one git commit --trailer flag per trailer entry, so git owns RFC-correctness and dedup; this needs git &gt;= 2.32, with interpret-trailers as the fallback.</t>
  </si>
  <si>
    <t xml:space="preserve">specs/027-git-trailers/design.html#D-001</t>
  </si>
  <si>
    <t xml:space="preserve">Decision run.commit(subject, trailers) appends one --trailer flag per entry. No manual footer assembly, no second process. Consequences + Git owns RFC-correctness + dedup.</t>
  </si>
  <si>
    <t xml:space="preserve">G-003</t>
  </si>
  <si>
    <t xml:space="preserve">What made the lines of a wrapped heading overlap when the heading contained inline code?</t>
  </si>
  <si>
    <t xml:space="preserve">The h1 line-height (1.05) was too tight for inline code's padded, bordered box.</t>
  </si>
  <si>
    <t xml:space="preserve">The h1 line-height of 1.05 was too tight, and inline code's padding, border and 0.9em size made a ~73px box inside a 57px line box; the fix raised h1 line-height to 1.14 and flattened code inside headings.</t>
  </si>
  <si>
    <t xml:space="preserve">specs/016-theme-support/triage-log.html#T-003</t>
  </si>
  <si>
    <t xml:space="preserve">root cause was the tight heading line-height:1.05 plus inline code's padding/border/0.9em box exceeding the line box (≈73px vs 57px); fixed in base CSS by loosening h1 line-height to 1.14</t>
  </si>
  <si>
    <t xml:space="preserve">G-004</t>
  </si>
  <si>
    <t xml:space="preserve">In the VS Code extension's canvas, why was the hover card cut off for nodes near the edge of the panel?</t>
  </si>
  <si>
    <t xml:space="preserve">The card rendered inside the scroll container, which clipped it (overflow:auto).</t>
  </si>
  <si>
    <t xml:space="preserve">The card was appended inside the canvas surface, which the scroll container clips with overflow:auto. The fix renders it on document.body with position:fixed, viewport clamping and flip-above.</t>
  </si>
  <si>
    <t xml:space="preserve">specs/020-vscode-extension/triage-log.html#T-002</t>
  </si>
  <si>
    <t xml:space="preserve">root cause was implementation drift — the card was appended inside the canvas surface, which the scroll container clips with overflow:auto ; fixed by rendering it on &lt;body&gt; with position:fixed , viewport clamping, and flip-above;</t>
  </si>
  <si>
    <t xml:space="preserve">G-005</t>
  </si>
  <si>
    <t xml:space="preserve">Does init --tools wire spectastic enforce into the pre-commit hook it installs?</t>
  </si>
  <si>
    <t xml:space="preserve">No; it has to be wired in manually (deferred because the hook uses exec).</t>
  </si>
  <si>
    <t xml:space="preserve">Not automatically. That integration was deferred because 031's hook uses exec, so you wire it manually (spectastic enforce || exit 1), and FR-005 is only partially met.</t>
  </si>
  <si>
    <t xml:space="preserve">specs/042-profile-enforcement/tasks.html#T-901</t>
  </si>
  <si>
    <t xml:space="preserve">031's hook uses exec , so appending enforce needs an opt-in flag threaded through tested code. The enforce command is delivered and CI/hook-ready — wire it manually ( spectastic enforce || exit 1 );</t>
  </si>
  <si>
    <t xml:space="preserve">G-006</t>
  </si>
  <si>
    <t xml:space="preserve">Why did the npm publish of v0.1.0-pre.28 fail?</t>
  </si>
  <si>
    <t xml:space="preserve">An npm credential failure (404 on publish: token expired or lost scope), not a code failure.</t>
  </si>
  <si>
    <t xml:space="preserve">It was a credential failure, not a code one: the npm step returned 404 Not Found on the PUT for @spectastic/render, which points to NPM_TOKEN expiring, rotating or losing scope. The fix moved publishing to OIDC trusted publishing.</t>
  </si>
  <si>
    <t xml:space="preserve">specs/004-npm-publish-workflow/changes/archive/2026-09-14-oidc-trusted-publishing/proposal.html#intent</t>
  </si>
  <si>
    <t xml:space="preserve">The v0.1.0-pre.28 publish failed twice at the npm step with 404 Not Found - PUT …/@spectastic%2frender — a credential failure, not a code one (every gate passed).</t>
  </si>
  <si>
    <t xml:space="preserve">G-007</t>
  </si>
  <si>
    <t xml:space="preserve">Does the published web address for spectastic's config JSON schema actually resolve yet?</t>
  </si>
  <si>
    <t xml:space="preserve">No; it returns 404 because the published version predates the schema file.</t>
  </si>
  <si>
    <t xml:space="preserve">No. Fetching it at the pinned version returns 404 because the currently published version predates the schema file, so the check is to be repeated at the next release.</t>
  </si>
  <si>
    <t xml:space="preserve">specs/087-config-published-schema/tasks.html#T-301</t>
  </si>
  <si>
    <t xml:space="preserve">Deliberately unticked: it returns 404 today, because the currently-published version predates the schema file. Repeat at the next release</t>
  </si>
  <si>
    <t xml:space="preserve">G-008</t>
  </si>
  <si>
    <t xml:space="preserve">When the kernel was extracted, what benchmark baseline was full-project validation expected to stay within 20% of?</t>
  </si>
  <si>
    <t xml:space="preserve">175 ms on an M1 dev machine and 295 ms on ubuntu-latest CI (validate-full-project p50).</t>
  </si>
  <si>
    <t xml:space="preserve">The validate-full-project p50 should stay within ±20% of 175 ms on an M1 dev machine and 295 ms on ubuntu-latest CI.</t>
  </si>
  <si>
    <t xml:space="preserve">specs/006-kernel-extraction/spec.html#NFR-002</t>
  </si>
  <si>
    <t xml:space="preserve">The validate-full-project bench scenario's p50 SHOULD stay within ±20% of today's baseline (175 ms on M1 dev; 295 ms on ubuntu-latest CI).</t>
  </si>
  <si>
    <t xml:space="preserve">G-009</t>
  </si>
  <si>
    <t xml:space="preserve">In the change-risk verification run, what result did a diff with a staged binary plus a CI workflow edit produce?</t>
  </si>
  <si>
    <t xml:space="preserve">Two findings, a 55/100 amber score and the disclaimer (exit 0).</t>
  </si>
  <si>
    <t xml:space="preserve">Two findings, a 55/100 amber score and the disclaimer, with exit code 0.</t>
  </si>
  <si>
    <t xml:space="preserve">specs/049-change-risk-score/verify.html#run</t>
  </si>
  <si>
    <t xml:space="preserve">(1) a staged binary + CI-workflow edit prints two findings, a 55/100 amber score, and the disclaimer, exit 0;</t>
  </si>
  <si>
    <t xml:space="preserve">G-010</t>
  </si>
  <si>
    <t xml:space="preserve">Why does triage fan-out use a hand-rolled concurrency pool instead of the p-map library?</t>
  </si>
  <si>
    <t xml:space="preserve">To avoid adding p-map as a runtime dependency of the published core package.</t>
  </si>
  <si>
    <t xml:space="preserve">p-map is only a dev/CI transitive dependency, and promoting it would add a real runtime dependency to the published package. The owner kept @spectastic/core dependency-minimal, so a ~30-line mapPool copies p-map's input-order and concurrency-cap semantics.</t>
  </si>
  <si>
    <t xml:space="preserve">specs/032-triage-fanout/design.html#D-002</t>
  </si>
  <si>
    <t xml:space="preserve">p-map@7.0.4 is the obvious library but is only a dev/CI transitive via @secretlint/node ( pnpm-lock.yaml:2597 ) — promoting it adds a real runtime dep to the published package.</t>
  </si>
  <si>
    <t xml:space="preserve">G-011</t>
  </si>
  <si>
    <t xml:space="preserve">paraphrase</t>
  </si>
  <si>
    <t xml:space="preserve">Why does a design page bake in a duplicate of the API definition's text instead of pulling that file in live while someone is viewing it?</t>
  </si>
  <si>
    <t xml:space="preserve">The page's Content-Security-Policy forbids fetching at view time, so the text is copied in when the page is generated.</t>
  </si>
  <si>
    <t xml:space="preserve">The artifact's Content-Security-Policy (default-src 'none', no connect-src) blocks a runtime fetch, and an iframe would be flagged by the no-executable-content rule, so the contract text is copied in at generate time and drift is guarded separately.</t>
  </si>
  <si>
    <t xml:space="preserve">specs/072-contract-embedded-view/design.html#D-001</t>
  </si>
  <si>
    <t xml:space="preserve">templates/design.html:6 sets default-src 'none' with no connect-src , so a runtime fetch is blocked by policy; &lt;iframe&gt; is separately flagged by the no-executable-content rule.</t>
  </si>
  <si>
    <t xml:space="preserve">G-012</t>
  </si>
  <si>
    <t xml:space="preserve">If someone tweaks a file that came in from a design tool and later brings in a fresh version from that tool, are their tweaks kept?</t>
  </si>
  <si>
    <t xml:space="preserve">Yes, except fields whose source of truth is the export, which are re-derived.</t>
  </si>
  <si>
    <t xml:space="preserve">Yes, manual changes survive a re-import, except on fields whose source of truth is the export; those fields are re-derived on every import.</t>
  </si>
  <si>
    <t xml:space="preserve">specs/105-design-source-import/spec.html#FR-009
specs/105-design-source-import/design.html#D-002</t>
  </si>
  <si>
    <t xml:space="preserve">A hand edit to landed material MUST survive a re-import, except where the field has a source of truth in the export.</t>
  </si>
  <si>
    <t xml:space="preserve">G-013</t>
  </si>
  <si>
    <t xml:space="preserve">How does the prose theme make sure its fade-in-on-scroll effect can never leave text invisible if the page's code fails to load or errors out?</t>
  </si>
  <si>
    <t xml:space="preserve">The reveal is a progressive enhancement: nothing is hidden unless the script has run, so a failure leaves text visible.</t>
  </si>
  <si>
    <t xml:space="preserve">The stylesheet never hides anything. The script marks the document as reveal-capable when it runs, and only then does the hidden state exist, so a failure degrades to plain visible content.</t>
  </si>
  <si>
    <t xml:space="preserve">specs/109-prose-theme/design.html#D-003</t>
  </si>
  <si>
    <t xml:space="preserve">The stylesheet never hides a block. The script marks the document as reveal-capable when it runs, and only then does the unrevealed state exist.</t>
  </si>
  <si>
    <t xml:space="preserve">G-014</t>
  </si>
  <si>
    <t xml:space="preserve">Once a project's knowledge base outgrows simple lookup, which search upgrades should be layered on, in what sequence, and how much does each one help?</t>
  </si>
  <si>
    <t xml:space="preserve">Contextual embeddings, then contextual BM25, then reranking; each cuts retrieval failures further (about a third, a half, two-thirds).</t>
  </si>
  <si>
    <t xml:space="preserve">Contextual embeddings, then contextual BM25, then reranking, in that order. They cut retrieval failures by roughly a third, a half and two-thirds respectively.</t>
  </si>
  <si>
    <t xml:space="preserve">specs/059-corpus-retrieval-scale/spec.html#FR-002</t>
  </si>
  <si>
    <t xml:space="preserve">retrieval SHOULD follow the known ladder — contextual embeddings, then contextual BM25, then reranking — in that order. Rationale The ladder is characterised: the three stages cut retrieval failures by roughly a third, a half, and two-thirds respectively.</t>
  </si>
  <si>
    <t xml:space="preserve">G-015</t>
  </si>
  <si>
    <t xml:space="preserve">Will validation stop me from checking in a reference book whose terms forbid sharing it?</t>
  </si>
  <si>
    <t xml:space="preserve">No; it raises a warning, not an error.</t>
  </si>
  <si>
    <t xml:space="preserve">No. A redistribution-restricted document raises a corpus-license finding at warning severity, not an error, because committing it is the project's call; the rule only makes the fact visible.</t>
  </si>
  <si>
    <t xml:space="preserve">specs/058-corpus-licensing/spec.html#FR-002</t>
  </si>
  <si>
    <t xml:space="preserve">A warning, not an error: whether to commit restricted material is a project's call to make with the fact in front of it. The rule's job is to make the fact unavoidable, not to block the decision.</t>
  </si>
  <si>
    <t xml:space="preserve">G-016</t>
  </si>
  <si>
    <t xml:space="preserve">Is it acceptable for a success criterion to require that something never happens, or always happens, without giving any reasoning?</t>
  </si>
  <si>
    <t xml:space="preserve">No; a 0 or 100% threshold needs a stated justification.</t>
  </si>
  <si>
    <t xml:space="preserve">No. A criterion asserting a threshold of 0 or 100% (or two equal thresholds) must carry a stated justification, because a bare absolute is often an unfalsifiable reflex.</t>
  </si>
  <si>
    <t xml:space="preserve">specs/108-success-criteria/spec.html#FR-011</t>
  </si>
  <si>
    <t xml:space="preserve">A criterion asserting a threshold of 0 or 100%, or two equal thresholds, MUST carry a stated justification.</t>
  </si>
  <si>
    <t xml:space="preserve">G-017</t>
  </si>
  <si>
    <t xml:space="preserve">If the one-step visual flow is given a path to a design handoff that it can't open, how far does it get before giving up?</t>
  </si>
  <si>
    <t xml:space="preserve">It refuses immediately, before any model call or file write, naming the path it couldn't read.</t>
  </si>
  <si>
    <t xml:space="preserve">It refuses straight away, before any model call or any file write, and names the path it could not read.</t>
  </si>
  <si>
    <t xml:space="preserve">specs/110-visual-one-step/spec.html#FR-003</t>
  </si>
  <si>
    <t xml:space="preserve">Before making any model call and before writing any file, the invocation MUST refuse when the named export cannot be read, and MUST state which path it could not read.</t>
  </si>
  <si>
    <t xml:space="preserve">G-018</t>
  </si>
  <si>
    <t xml:space="preserve">What performance problem pushed the project to break its flagship specification document into several smaller ones?</t>
  </si>
  <si>
    <t xml:space="preserve">The meta-spec had grown too big to validate within the project's own per-file time budget on CI.</t>
  </si>
  <si>
    <t xml:space="preserve">At 118 KB the meta-spec took about 140 ms to validate on CI (about 28 ms locally) against a 100 ms per-file budget, so the project failed its own performance requirement.</t>
  </si>
  <si>
    <t xml:space="preserve">specs/000-spectastic/changes/archive/2026-08-11-extract-five-slices/proposal.html#intent</t>
  </si>
  <si>
    <t xml:space="preserve">At 118 KB the meta-spec takes about 28 ms to validate on a developer machine and roughly 140 ms on a continuous-integration runner, against a budget of 100 ms per file</t>
  </si>
  <si>
    <t xml:space="preserve">G-019</t>
  </si>
  <si>
    <t xml:space="preserve">Why did the auto-generated verification pages scroll sideways on a narrow phone screen, and how was it fixed?</t>
  </si>
  <si>
    <t xml:space="preserve">The tables had no horizontal scroll container; they are now wrapped in one (overflow-x:auto).</t>
  </si>
  <si>
    <t xml:space="preserve">renderVerifyHtml emitted the trace and observables tables with no scroll container. Both tables are now wrapped in an overflow-x:auto container where they are emitted.</t>
  </si>
  <si>
    <t xml:space="preserve">specs/021-verify-view/triage-log.html#T-004</t>
  </si>
  <si>
    <t xml:space="preserve">root cause was renderVerifyHtml emitting the trace and observables tables with no scroll container; fixed by wrapping them at the point of emission;</t>
  </si>
  <si>
    <t xml:space="preserve">G-020</t>
  </si>
  <si>
    <t xml:space="preserve">In a generated course, learners had nowhere to type their own explanation of an idea. What was wrong, and what changed?</t>
  </si>
  <si>
    <t xml:space="preserve">The prompt had no input; an (unsaved) textarea was added under it.</t>
  </si>
  <si>
    <t xml:space="preserve">The implementation rendered the teach-back prompt as static prose with no input. It now renders a textarea under the prompt, labelled as not saved, because course content isn't persisted.</t>
  </si>
  <si>
    <t xml:space="preserve">specs/019-explain-course/triage-log.html#T-002</t>
  </si>
  <si>
    <t xml:space="preserve">root cause was the implementation rendering the prompt as static prose with no input; fixed by adding a non-persisted &lt;textarea&gt; ;</t>
  </si>
  <si>
    <t xml:space="preserve">G-021</t>
  </si>
  <si>
    <t xml:space="preserve">identifier</t>
  </si>
  <si>
    <t xml:space="preserve">What does FR-001 of spec 040, the run budget, require of the BudgetTracker?</t>
  </si>
  <si>
    <t xml:space="preserve">Accumulate estimated output-token spend and report a phase: normal below 80%, degrade at 80%, halt at 100% of the ceiling.</t>
  </si>
  <si>
    <t xml:space="preserve">It must accumulate the run's estimated output-token spend and expose a phase: normal below 80% of the ceiling, degrade at &gt;=80%, halt at &gt;=100% (always normal when there is no ceiling).</t>
  </si>
  <si>
    <t xml:space="preserve">specs/040-run-budget/spec.html#FR-001</t>
  </si>
  <si>
    <t xml:space="preserve">A BudgetTracker MUST accumulate the run's estimated output-token spend and expose its phase : normal below 80% of the ceiling, degrade at ≥ 80%, halt at ≥ 100%.</t>
  </si>
  <si>
    <t xml:space="preserve">G-022</t>
  </si>
  <si>
    <t xml:space="preserve">What does NFR-001 in spec 045, artifact security, require?</t>
  </si>
  <si>
    <t xml:space="preserve">FR-001 and FR-002 must be deterministic and must not break rendering or interactivity of existing artifact types.</t>
  </si>
  <si>
    <t xml:space="preserve">FR-001 and FR-002 must be deterministic and must not break the rendering or interactivity of any existing spec-family artifact type, verified by opening representative artifacts in a browser.</t>
  </si>
  <si>
    <t xml:space="preserve">specs/045-artifact-security/spec.html#NFR-001</t>
  </si>
  <si>
    <t xml:space="preserve">FR-001 and FR-002 MUST be deterministic and MUST NOT break the rendering or interactivity of any existing spec-family artifact type</t>
  </si>
  <si>
    <t xml:space="preserve">G-023</t>
  </si>
  <si>
    <t xml:space="preserve">What does success criterion SC-002 of spec 119, decision resource scope, measure?</t>
  </si>
  <si>
    <t xml:space="preserve">That a change touching a store owned elsewhere is flagged for a non-owner, in both the direct-write and own-adapter cases (2 of 2 scenarios).</t>
  </si>
  <si>
    <t xml:space="preserve">That a reviewer in a consuming service is flagged, at the decision's declared posture, when their change touches a store owned elsewhere, in both the direct-write and own-adapter cases: 2 of 2 non-owner fixture scenarios (C and D) must flag.</t>
  </si>
  <si>
    <t xml:space="preserve">specs/119-decision-resource-scope/spec.html#SC-002</t>
  </si>
  <si>
    <t xml:space="preserve">A reviewer in a consuming service is flagged, at the decision's declared posture, when their change touches a store owned elsewhere — in both the direct-write and the well-layered-own-adapter case: 2 of 2 non-owner fixture scenarios flag</t>
  </si>
  <si>
    <t xml:space="preserve">G-024</t>
  </si>
  <si>
    <t xml:space="preserve">In the design for spec 026, git strategy, what does decision D-002 settle about where configuration lives?</t>
  </si>
  <si>
    <t xml:space="preserve">In a root spectastic.json (git section), with defaults when the file or key is absent.</t>
  </si>
  <si>
    <t xml:space="preserve">Config lives in a root spectastic.json with a git section ({"git": {"auto": "off"}}); an absent file or key falls back to defaults (auto=off), chosen over a hidden .spectastic/ directory.</t>
  </si>
  <si>
    <t xml:space="preserve">specs/026-git-strategy/design.html#D-002</t>
  </si>
  <si>
    <t xml:space="preserve">Read a root spectastic.json with a git section ( { "git": { "auto": "off" } } ); absent file or key → defaults ( auto=off ).</t>
  </si>
  <si>
    <t xml:space="preserve">G-025</t>
  </si>
  <si>
    <t xml:space="preserve">What is task T-100 in the task list for spec 065, corpus PDF convert?</t>
  </si>
  <si>
    <t xml:space="preserve">A failing test that the default MarkItDown convert path reaches the same pack state as adaptCorpus.</t>
  </si>
  <si>
    <t xml:space="preserve">Write a failing test that the default convert path (MarkItDown), with the stub runner and fixture shim, reaches the same terminal pack state as an equivalent adaptCorpus call, in packages/corpus/test/knowledge.convert.test.ts.</t>
  </si>
  <si>
    <t xml:space="preserve">specs/065-corpus-pdf-convert/tasks.html#T-100</t>
  </si>
  <si>
    <t xml:space="preserve">Write failing test: default convert files a doc — with the stub runner + fixture shim, the default (MarkItDown) path reaches the same terminal pack state as an equivalent adaptCorpus call.</t>
  </si>
  <si>
    <t xml:space="preserve">G-026</t>
  </si>
  <si>
    <t xml:space="preserve">What does FR-003 of spec 103, content budgets, say about checking a budget?</t>
  </si>
  <si>
    <t xml:space="preserve">A budget is a design constraint and must not be checked against running text.</t>
  </si>
  <si>
    <t xml:space="preserve">A budget must be treated as a design constraint and must not be checked against any running text, because the real copy lives in systems the vocabulary cannot see.</t>
  </si>
  <si>
    <t xml:space="preserve">specs/103-content-budgets/spec.html#FR-003</t>
  </si>
  <si>
    <t xml:space="preserve">A budget MUST be treated as a design constraint and MUST NOT be checked against any running text.</t>
  </si>
  <si>
    <t xml:space="preserve">G-027</t>
  </si>
  <si>
    <t xml:space="preserve">What is decision D-001 in the design for spec 078, the federated resource URI?</t>
  </si>
  <si>
    <t xml:space="preserve">Add a corpus kind to the existing shared resource-URI composer, with an optional edition parameter.</t>
  </si>
  <si>
    <t xml:space="preserve">The corpus kind joins the existing shared composer: extend ResourceKind with 'corpus', add a thin named wrapper, and add an optional edition parameter emitted as ?edition= before any fragment.</t>
  </si>
  <si>
    <t xml:space="preserve">specs/078-federated-resource-uri/design.html#D-001</t>
  </si>
  <si>
    <t xml:space="preserve">Extend ResourceKind with 'corpus' and add a thin named wrapper beside the existing spec and contract wrappers. Add an optional edition parameter to the shared composer, emitted as ?edition= before any fragment.</t>
  </si>
  <si>
    <t xml:space="preserve">G-028</t>
  </si>
  <si>
    <t xml:space="preserve">What is success criterion SC-001 of spec 100, screen flows?</t>
  </si>
  <si>
    <t xml:space="preserve">A reader can tell the screen order and each step's failure branch from the declaration alone, opening no other file.</t>
  </si>
  <si>
    <t xml:space="preserve">For a feature declaring a journey, a reader can state the order of its screens and the failure branch of each step from the declaration alone, opening 0 other files.</t>
  </si>
  <si>
    <t xml:space="preserve">specs/100-screen-flows/spec.html#SC-001</t>
  </si>
  <si>
    <t xml:space="preserve">G-029</t>
  </si>
  <si>
    <t xml:space="preserve">relation</t>
  </si>
  <si>
    <t xml:space="preserve">Which success criteria in spec 109, the prose theme, validate FR-008 (the receding sticky header)?</t>
  </si>
  <si>
    <t xml:space="preserve">SC-003 and SC-001.</t>
  </si>
  <si>
    <t xml:space="preserve">Two: SC-003 (keyboard readers reach every control the receding header carries, 100%) and SC-001 (reviewers read a long artifact end to end in one sitting); both list FR-008 in their validates attribute.</t>
  </si>
  <si>
    <t xml:space="preserve">specs/109-prose-theme/spec.html#SC-003
specs/109-prose-theme/spec.html#SC-001</t>
  </si>
  <si>
    <t xml:space="preserve">Readers navigating by keyboard reach every control the receding header carries — share reachable 100% (target 100%), from no established baseline.</t>
  </si>
  <si>
    <t xml:space="preserve">G-030</t>
  </si>
  <si>
    <t xml:space="preserve">Which requirements does success criterion SC-002 of spec 110, visual one-step, validate, and what do they demand?</t>
  </si>
  <si>
    <t xml:space="preserve">FR-003 and NFR-001: refuse before any model call or write when the export can't be read, naming the path; 0 model calls, 0 files written.</t>
  </si>
  <si>
    <t xml:space="preserve">FR-003 and NFR-001: before any model call or file write, the invocation must refuse when the named export cannot be read and name the path; a refusing run makes 0 model calls and writes 0 files.</t>
  </si>
  <si>
    <t xml:space="preserve">specs/110-visual-one-step/spec.html#FR-003
specs/110-visual-one-step/spec.html#NFR-001</t>
  </si>
  <si>
    <t xml:space="preserve">G-031</t>
  </si>
  <si>
    <t xml:space="preserve">Spec 058's corpus-license rule reads a license field that 058 says it does not own. Which spec defines that field, and what else goes in that frontmatter?</t>
  </si>
  <si>
    <t xml:space="preserve">051-knowledge-corpus (FR-003): provenance frontmatter with origin, edition, license, converter, content hash and status.</t>
  </si>
  <si>
    <t xml:space="preserve">051-knowledge-corpus (FR-003): every corpus document carries provenance frontmatter of origin/origin-url, edition, license, converter, a content hash and a status.</t>
  </si>
  <si>
    <t xml:space="preserve">specs/051-knowledge-corpus/spec.html#FR-003
specs/058-corpus-licensing/spec.html#requirements</t>
  </si>
  <si>
    <t xml:space="preserve">Every corpus document MUST carry provenance frontmatter: origin / origin-url , edition , license , converter , a content hash, and a status (e.g. illustrative-excerpt vs authoritative).</t>
  </si>
  <si>
    <t xml:space="preserve">G-032</t>
  </si>
  <si>
    <t xml:space="preserve">Spec 055 (corpus in review) leaves injecting the corpus into the authoring verbs out of scope. Which spec handles that, and what does it require?</t>
  </si>
  <si>
    <t xml:space="preserve">054-corpus-in-prompt: inject the corpus index and a grounding directive into every AI-verb prompt.</t>
  </si>
  <si>
    <t xml:space="preserve">054-corpus-in-prompt: when a corpus is present, core must inject its index and a grounding directive into every AI-verb prompt, using the same fenced mechanism that injects the principles.</t>
  </si>
  <si>
    <t xml:space="preserve">specs/054-corpus-in-prompt/spec.html#FR-001
specs/055-corpus-in-review/spec.html#requirements</t>
  </si>
  <si>
    <t xml:space="preserve">When a corpus is present, core MUST inject its index and a grounding directive into every AI-verb prompt, via the same fenced mechanism that already injects the principles.</t>
  </si>
  <si>
    <t xml:space="preserve">G-033</t>
  </si>
  <si>
    <t xml:space="preserve">Spec 023's design dropped its decision on generating restore tasks after an exploration graduates. Which slice took that over, and how is restore invoked now?</t>
  </si>
  <si>
    <t xml:space="preserve">024-explore-restore; restore is now a mode of /spectastic.tasks (--restore).</t>
  </si>
  <si>
    <t xml:space="preserve">It moved to the sibling slice TBD-explore-restore, now 024-explore-restore, where restore is a mode of /spectastic.tasks: /spectastic.tasks &lt;id&gt; --restore, or an announced prompt when a graduated marker is present.</t>
  </si>
  <si>
    <t xml:space="preserve">specs/023-explore-graduation/design.html#D-006
specs/024-explore-restore/spec.html#FR-001</t>
  </si>
  <si>
    <t xml:space="preserve">US2 (restore-scaffold) was split to the sibling slice TBD-explore-restore when 023's budget went red (the spec's INVEST·Small trigger).</t>
  </si>
  <si>
    <t xml:space="preserve">G-034</t>
  </si>
  <si>
    <t xml:space="preserve">Which spec superseded 001-cli, and what did it require happen to the old Python CLI?</t>
  </si>
  <si>
    <t xml:space="preserve">003-init-node-port; the Python CLI scripts were removed and 001-cli was marked superseded.</t>
  </si>
  <si>
    <t xml:space="preserve">003-init-node-port: at its apply, scripts/spectastic and scripts/test_spectastic.py were removed and 001-cli's status flipped to superseded with a forward link to 003; 001 stays as historical record.</t>
  </si>
  <si>
    <t xml:space="preserve">specs/003-init-node-port/spec.html#FR-010</t>
  </si>
  <si>
    <t xml:space="preserve">the Python script scripts/spectastic and its test file scripts/test_spectastic.py MUST be removed from the repository, and spec 001-cli 's &lt;spec-status&gt; MUST flip to superseded with a forward link to this spec.</t>
  </si>
  <si>
    <t xml:space="preserve">G-035</t>
  </si>
  <si>
    <t xml:space="preserve">In spec 062, corpus identity migration, which test task proves success criterion SC-002, and what does that task test?</t>
  </si>
  <si>
    <t xml:space="preserve">T-300: resolver tests that packs sharing a legacy id resolve by registry identity (and pinned editions still resolve).</t>
  </si>
  <si>
    <t xml:space="preserve">T-300: red-first resolver tests showing two packs sharing a legacy id resolve by registry identity, not array order; edition-pinned citations to a retained superseded edition still resolve; and a registry-present absent id returns null.</t>
  </si>
  <si>
    <t xml:space="preserve">specs/062-corpus-identity-migration/verify.html#trace
specs/062-corpus-identity-migration/tasks.html#T-300</t>
  </si>
  <si>
    <t xml:space="preserve">SC-002 US3 T-300</t>
  </si>
  <si>
    <t xml:space="preserve">G-036</t>
  </si>
  <si>
    <t xml:space="preserve">Spec 076 emits a change notification when a contract is promoted. Which spec provides that promotion hook, and where does promotion actually run?</t>
  </si>
  <si>
    <t xml:space="preserve">071-contract-promotion; promotion runs inside apply, just before the proposal is archived.</t>
  </si>
  <si>
    <t xml:space="preserve">071-contract-promotion (its US1 promotion hook); per 071's D-002, promotion runs inside applyCommand, immediately before the existing proposal-archive step, with no new verb.</t>
  </si>
  <si>
    <t xml:space="preserve">specs/076-contract-export-handover/tasks.html#dependencies
specs/071-contract-promotion/design.html#D-002</t>
  </si>
  <si>
    <t xml:space="preserve">071 US1 → US2 (the promotion hook the notification fires from)</t>
  </si>
  <si>
    <t xml:space="preserve">G-037</t>
  </si>
  <si>
    <t xml:space="preserve">stale</t>
  </si>
  <si>
    <t xml:space="preserve">How does spec 004's npm publish workflow derive the dist-tag, and what implements that logic?</t>
  </si>
  <si>
    <t xml:space="preserve">A tested Node script (scripts/derive-dist-tag.mjs) that derives the tag from whether a stable release exists.</t>
  </si>
  <si>
    <t xml:space="preserve">A tested Node script, scripts/derive-dist-tag.mjs: a pure deriveDistTags(version, publishedVersions) plus one network function, keyed on whether a stable release exists, and failing rather than guessing when registry state is unknown.</t>
  </si>
  <si>
    <t xml:space="preserve">specs/004-npm-publish-workflow/design.html#D-006</t>
  </si>
  <si>
    <t xml:space="preserve">move the derivation into scripts/derive-dist-tag.mjs , splitting a pure deriveDistTags(version, publishedVersions) from the one function that touches the network.</t>
  </si>
  <si>
    <t xml:space="preserve">G-038</t>
  </si>
  <si>
    <t xml:space="preserve">How quickly must spectastic init complete in an empty directory?</t>
  </si>
  <si>
    <t xml:space="preserve">Under 500 ms p95.</t>
  </si>
  <si>
    <t xml:space="preserve">Under 500 ms p95 on a modern laptop (Apple M-series or comparable); the work is pure filesystem with no network.</t>
  </si>
  <si>
    <t xml:space="preserve">specs/003-init-node-port/spec.html#NFR-001</t>
  </si>
  <si>
    <t xml:space="preserve">Init MUST complete in under 500 ms p95 on a modern laptop (Apple M-series or comparable) in an empty directory.</t>
  </si>
  <si>
    <t xml:space="preserve">G-039</t>
  </si>
  <si>
    <t xml:space="preserve">What are the eight lifecycle slash commands spectastic must ship?</t>
  </si>
  <si>
    <t xml:space="preserve">principles, spec, design, tasks, implement, propose, apply and triage.</t>
  </si>
  <si>
    <t xml:space="preserve">/spectastic.principles, .spec, .design, .tasks, .implement, .propose, .apply and .triage; extended opt-in verbs such as explain and explore may also ship.</t>
  </si>
  <si>
    <t xml:space="preserve">specs/090-command-surface/spec.html#REQ-TOOL-001</t>
  </si>
  <si>
    <t xml:space="preserve">Spectastic MUST ship eight Claude Code slash commands across the lifecycle — /spectastic.principles , /spectastic.spec , /spectastic.design , /spectastic.tasks , /spectastic.implement , /spectastic.propose , /spectastic.apply , /spectastic.triage</t>
  </si>
  <si>
    <t xml:space="preserve">G-040</t>
  </si>
  <si>
    <t xml:space="preserve">How many files does spectastic init produce in an empty directory after a global npm install, according to the publish spec's success criterion?</t>
  </si>
  <si>
    <t xml:space="preserve">40 files.</t>
  </si>
  <si>
    <t xml:space="preserve">A 40-file tree, byte-identical to the local-clone install (the count rose from 32 when the default scaffold began writing the eight portable Agent-Skills SKILL.md files).</t>
  </si>
  <si>
    <t xml:space="preserve">specs/004-npm-publish-workflow/spec.html#SC-001</t>
  </si>
  <si>
    <t xml:space="preserve">spectastic init in an empty directory yields a 40-file tree byte-identical to the local-clone install</t>
  </si>
  <si>
    <t xml:space="preserve">G-041</t>
  </si>
  <si>
    <t xml:space="preserve">In spec 094, the visual sidecar convention, which operation must stat only the declared paths, and what are its limits?</t>
  </si>
  <si>
    <t xml:space="preserve">Path resolution: at most 1 filesystem call per declaration and 0 directory walks.</t>
  </si>
  <si>
    <t xml:space="preserve">Path resolution: at most 1 filesystem call per declaration and 0 directory walks, so a project with many specs pays a cost linear in declarations rather than files.</t>
  </si>
  <si>
    <t xml:space="preserve">specs/094-visual-sidecar-convention/spec.html#NFR-001</t>
  </si>
  <si>
    <t xml:space="preserve">Path resolution MUST stat only the declared paths: at most 1 filesystem call per declaration, and at most 0 directory walks</t>
  </si>
  <si>
    <t xml:space="preserve">G-042</t>
  </si>
  <si>
    <t xml:space="preserve">In spec 099, the visual embedded view, what must happen when a materialised view no longer matches what it projects, and what is it compared against?</t>
  </si>
  <si>
    <t xml:space="preserve">It must be reported, comparing against the projected files as they are now.</t>
  </si>
  <si>
    <t xml:space="preserve">It must be reported, comparing the view against the files it projects as they currently are, not against a stored digest.</t>
  </si>
  <si>
    <t xml:space="preserve">specs/099-visual-embedded-view/spec.html#FR-004</t>
  </si>
  <si>
    <t xml:space="preserve">A view that no longer matches the files it projects MUST be reported, compared against those files as they are rather than a stored digest.</t>
  </si>
  <si>
    <t xml:space="preserve">G-043</t>
  </si>
  <si>
    <t xml:space="preserve">How is an individual declared screen addressed by a resource coordinate in spectastic?</t>
  </si>
  <si>
    <t xml:space="preserve">By a screen resource coordinate of its own kind, qualified by the owning spec, using the name the screen declares.</t>
  </si>
  <si>
    <t xml:space="preserve">By a resource coordinate of its own kind, qualified by the owning spec; each screen must declare the name it is addressed by, and two screens in one spec resolving to the same name are an error.</t>
  </si>
  <si>
    <t xml:space="preserve">specs/095-visual-element-vocabulary/spec.html#FR-013</t>
  </si>
  <si>
    <t xml:space="preserve">A declared screen MUST be addressable by a resource coordinate of its own kind, qualified by the spec that owns it; a screen MUST declare the name it is addressed by</t>
  </si>
  <si>
    <t xml:space="preserve">G-044</t>
  </si>
  <si>
    <t xml:space="preserve">How does the verify view (spec 021) decide which tasks are test tasks when tracing success criteria, and what happens if a story phase has no Tests subsection?</t>
  </si>
  <si>
    <t xml:space="preserve">Tasks under the story's Tests subsection; otherwise a .test./.spec. file-path pattern.</t>
  </si>
  <si>
    <t xml:space="preserve">The primary signal is a task under the story's 'Tests (write &amp; fail first)' subsection; when a phase has no Tests subsection, it falls back to a file-path test pattern (.test. / .spec.).</t>
  </si>
  <si>
    <t xml:space="preserve">specs/021-verify-view/spec.html#FR-003</t>
  </si>
  <si>
    <t xml:space="preserve">When a story phase declares no Tests subsection, the aggregation MUST fall back to identifying test tasks by file path — a &lt;spec-task&gt; whose declared path matches a test-file pattern ( .test. / .spec. ).</t>
  </si>
  <si>
    <t xml:space="preserve">G-045</t>
  </si>
  <si>
    <t xml:space="preserve">unanswerable</t>
  </si>
  <si>
    <t xml:space="preserve">Is there a JetBrains plugin (IntelliJ or WebStorm) for spectastic's lifecycle canvas, like the VS Code extension?</t>
  </si>
  <si>
    <t xml:space="preserve">Declines: not covered.</t>
  </si>
  <si>
    <t xml:space="preserve">Not covered in specs/.</t>
  </si>
  <si>
    <t xml:space="preserve">(none: unanswerable)</t>
  </si>
  <si>
    <t xml:space="preserve">G-046</t>
  </si>
  <si>
    <t xml:space="preserve">Can spectastic push the tasks in tasks.html to Jira so that they show up as tickets?</t>
  </si>
  <si>
    <t xml:space="preserve">G-047</t>
  </si>
  <si>
    <t xml:space="preserve">Which compliance frameworks, such as SOC 2, HIPAA, GDPR or ISO 27001, does the enterprise profile map its controls to?</t>
  </si>
  <si>
    <t xml:space="preserve">G-048</t>
  </si>
  <si>
    <t xml:space="preserve">Can two people edit the same spec at the same time, Google Docs style, with live collaboration?</t>
  </si>
  <si>
    <t xml:space="preserve">G-049</t>
  </si>
  <si>
    <t xml:space="preserve">Is there an official Docker image for running the spectastic CLI in CI?</t>
  </si>
  <si>
    <t xml:space="preserve">G-050</t>
  </si>
  <si>
    <t xml:space="preserve">Can spectastic export a finished spec as a Microsoft Word (.docx) document?</t>
  </si>
  <si>
    <t xml:space="preserve">H-001</t>
  </si>
  <si>
    <t xml:space="preserve">held-out</t>
  </si>
  <si>
    <t xml:space="preserve">What does success criterion SC-002 of spec 113, guardrail retrieval, check, and which requirements does it prove?</t>
  </si>
  <si>
    <t xml:space="preserve">FR-003 (a reproducible retrieval log with decision coordinates) and NFR-002 (deterministic retrieval and a byte-identical log).</t>
  </si>
  <si>
    <t xml:space="preserve">With a pinned clock the retrieval log is byte-identical across at least 2 runs and its governing entries carry decision coordinates. It validates FR-003 (write a reproducible retrieval log of the query paths, each governing decision's coordinate and the matched paths, so a verdict can be rebuilt from disk) and NFR-002 (retrieval and the log are deterministic: same paths and decisions give the same governing set and, with an injected clock, a byte-identical log).</t>
  </si>
  <si>
    <t xml:space="preserve">specs/113-guardrail-retrieval/spec.html#FR-003
specs/113-guardrail-retrieval/spec.html#NFR-002</t>
  </si>
  <si>
    <t xml:space="preserve">typed:validates</t>
  </si>
  <si>
    <t xml:space="preserve">The command MUST write a reproducible retrieval log recording the query paths, each governing decision's coordinate ( spectastic://…/decision/… ), and the paths it matched, so a verdict can later reconstruct entirely from disk. … Retrieval and the log MUST be deterministic: the same paths and decisions yield the same governing set and, given an injected clock, a byte-identical log — verified with at most 1 repeated-run diff.</t>
  </si>
  <si>
    <t xml:space="preserve">H-002</t>
  </si>
  <si>
    <t xml:space="preserve">When spectastic's guardrail verdict takes in a code scanner's report, how does it decide which findings count, and what is each violation guaranteed to tell you?</t>
  </si>
  <si>
    <t xml:space="preserve">Results count only when their rule-id matches a recorded decision (others are ignored); each violation carries at least decision-id, rule-id, reason and file:line.</t>
  </si>
  <si>
    <t xml:space="preserve">It ingests SARIF and matches each result's rule-id to a decision carrying that &lt;spec-rule id&gt;, composing the verdict with that decision's reason; a result that matches no decision is ignored, and spectastic never runs the enforcer itself. Each violation is guaranteed {decision-id, rule-id, reason, file:line}, with source→target added where the enforcer provides it.</t>
  </si>
  <si>
    <t xml:space="preserve">specs/115-guardrail-verdict/spec.html#FR-004
specs/115-guardrail-verdict/spec.html#FR-007</t>
  </si>
  <si>
    <t xml:space="preserve">typed:validates (unanchored)</t>
  </si>
  <si>
    <t xml:space="preserve">The verdict MUST be able to ingest an ecosystem enforcer's machine-readable output (SARIF): each result's rule-id is matched to a decision carrying that &lt;spec-rule id&gt; , and the verdict is composed with that decision's reason. A result whose rule-id matches no … source→target SHOULD be populated where the detector or enforcer provides it (the changed file → the matched pattern for content; the SARIF location → the rule subject); the guaranteed floor is {decision-id, rule-id, reason, file:line} .</t>
  </si>
  <si>
    <t xml:space="preserve">H-003</t>
  </si>
  <si>
    <t xml:space="preserve">Spec 052 defines how corpus citations are written but leaves checking them to another spec. Which one, and how strict is each check?</t>
  </si>
  <si>
    <t xml:space="preserve">053-corpus-grounding-gates: unresolvable citation is an error; out-of-date pinned edition is a warning.</t>
  </si>
  <si>
    <t xml:space="preserve">053-corpus-grounding-gates: a cited KB-NNN that resolves to no committed corpus document is an error (FR-001); a decision whose pinned edition is not the current edition is a warning (FR-002).</t>
  </si>
  <si>
    <t xml:space="preserve">specs/053-corpus-grounding-gates/spec.html#FR-001
specs/053-corpus-grounding-gates/spec.html#FR-002</t>
  </si>
  <si>
    <t xml:space="preserve">typed:defer-to (to the page)</t>
  </si>
  <si>
    <t xml:space="preserve">A corpus-provenance validate rule MUST fire at error severity when a cited KB-NNN resolves to no committed corpus document. Rationale A dead reference is deterministically detectable — the file exists or it doesn't — so it can honestly fail closed, exactly as  … A corpus-staleness validate rule MUST fire at warning severity when a decision's pinned edition is not the current edition of the document it cites. Rationale A superseded-but-still-resolving edition should surface as loudly as an assumed decision, but must no</t>
  </si>
  <si>
    <t xml:space="preserve">H-004</t>
  </si>
  <si>
    <t xml:space="preserve">Why doesn't spec 106's render step open a design-tool archive itself, and what does the requirement it relies on demand?</t>
  </si>
  <si>
    <t xml:space="preserve">Because the import (105 FR-013) already materialises archives, offline, with no network, account or credential.</t>
  </si>
  <si>
    <t xml:space="preserve">Opening an archive is out of scope for 106 because 105 FR-013 already requires an import to materialise one, so a render reads a materialised source and there is one expander, not two. FR-013: an import must accept an archive as its source and materialise it without a network, an account or a credential.</t>
  </si>
  <si>
    <t xml:space="preserve">specs/106-visual-render/spec.html#requirements
specs/105-design-source-import/spec.html#FR-013</t>
  </si>
  <si>
    <t xml:space="preserve">typed:defer-to + link to FR-013</t>
  </si>
  <si>
    <t xml:space="preserve">3 · Requirements Conformance keywords ( MUST , SHOULD , MAY ) follow RFC 2119. Functional Non-functional Out of scope (deferred to other slices) Measuring an implementation against the design. This spec captures evidence; it never judges with it. Landing rende … An import MUST accept an archive as its source location and materialise it, and doing so MUST NOT require a network, an account or a credential. Rationale FR-001 requires the source to be on the local filesystem and assigns nobody the job of putting it there. </t>
  </si>
  <si>
    <t xml:space="preserve">H-005</t>
  </si>
  <si>
    <t xml:space="preserve">How can a team be sure that asking the guardrail for an explanation won't change what their CI pipeline sees?</t>
  </si>
  <si>
    <t xml:space="preserve">The exit code and verdict.json must be identical with or without --explain; only the printed output differs, and a CLI run compares both.</t>
  </si>
  <si>
    <t xml:space="preserve">--explain may enrich only human output: the persisted verdict.json and the exit code must be identical with or without it (FR-003), and SC-002 checks this by running the verdict both ways and comparing; only stdout differs.</t>
  </si>
  <si>
    <t xml:space="preserve">specs/118-verdict-explain/spec.html#FR-003
specs/118-verdict-explain/spec.html#SC-002</t>
  </si>
  <si>
    <t xml:space="preserve">--explain MUST enrich only human output: the persisted verdict.json and the process exit code MUST be identical whether or not it is given. … Running the verdict with --explain versus without yields an identical exit code and an identical persisted verdict.json ; only stdout differs. Observed at A CLI integration run comparing both invocations.</t>
  </si>
  <si>
    <t xml:space="preserve">H-006</t>
  </si>
  <si>
    <t xml:space="preserve">The first AI provider shipped with one of its methods deliberately left unfinished. Why, and how was it completed later?</t>
  </si>
  <si>
    <t xml:space="preserve">subagent() was left unimplemented until the propose slice, which made it a separate SDK call with an adversarial-critic system prompt.</t>
  </si>
  <si>
    <t xml:space="preserve">Triage (007 D-001) implemented ClaudeProvider on the Anthropic SDK but left subagent() throwing "not implemented", because the propose slice would need it. Propose (013 D-001) filled it in as a separate SDK call with a critic-role system prompt (an adversarial reviewer naming exactly three risks), at temperature 0, returning raw text parsed into risk findings.</t>
  </si>
  <si>
    <t xml:space="preserve">specs/007-core-triage/design.html#D-001
specs/013-core-propose/design.html#D-001</t>
  </si>
  <si>
    <t xml:space="preserve">prose only</t>
  </si>
  <si>
    <t xml:space="preserve">D-001 · ClaudeProvider implementation via @anthropic-ai/sdk Status Accepted Context The kernel's AIProvider interface (006 FR-007) declared three methods; this slice lands the first concrete implementation. The official Anthropic SDK is the lowest-friction pat … D-001 · ClaudeProvider.subagent() — separate SDK call with critic-role system prompt Status Accepted Context 007 D-001 stubbed subagent() as throw "not implemented; lands with 013-core-propose" . This slice fills it in. Interface from 006 D-004 : (prompt, opts</t>
  </si>
  <si>
    <t xml:space="preserve">H-007</t>
  </si>
  <si>
    <t xml:space="preserve">Where did the design command get its rules for revisiting a design that already exists, and what may it do to an existing decision?</t>
  </si>
  <si>
    <t xml:space="preserve">From the spec command's re-entry pattern (add or enhance only); an existing decision can be kept, enhanced or superseded, never renumbered.</t>
  </si>
  <si>
    <t xml:space="preserve">It reuses the spec command's re-entry pattern (011 D-002: parse the existing document, then only ADD or ENHANCE, enforced structurally). Per existing decision it offers keep, enhance (with a dated note) or supersede (status flip plus a forward link); it never renumbers, and new decisions take the next id.</t>
  </si>
  <si>
    <t xml:space="preserve">specs/012-core-plan/design.html#D-006
specs/011-core-spec/design.html#D-002</t>
  </si>
  <si>
    <t xml:space="preserve">D-006 · Re-entry mode — ADD or ENHANCE, never RENUMBER Status Accepted Context FR-011 mandates preservation of every existing &lt;spec-decision&gt; . 011's re-entry pattern (parse, diff, ADD-or-ENHANCE) applies directly. Decision Triggered by existing design.html (n … D-002 · Re-entry detection and ADD/ENHANCE-only deltas Status Accepted Context FR-005 requires re-entry to preserve existing IDs and changelog entries; removals require explicit confirmation. The kernel needs structural enforcement, not prompt instructions alo</t>
  </si>
  <si>
    <t xml:space="preserve">H-008</t>
  </si>
  <si>
    <t xml:space="preserve">history</t>
  </si>
  <si>
    <t xml:space="preserve">Spectastic's own repository was once only a consumer of its knowledge corpus. What reversed that, and what does it publish now?</t>
  </si>
  <si>
    <t xml:space="preserve">Spec 063 (discoverable by default) superseded it; the repository now publishes a root knowledge/marketplace.json listing its corpora.</t>
  </si>
  <si>
    <t xml:space="preserve">063-corpus-discoverability made corpora discoverable by default (FR-007), superseding 062 FR-009's consumer-only stance through a recorded MODIFY of FR-009. The repository now publishes a root knowledge/marketplace.json listing spectastic-concepts (tool-specific) and finance-settlement; 062 FR-009 is kept as the historical record.</t>
  </si>
  <si>
    <t xml:space="preserve">specs/062-corpus-identity-migration/spec.html#FR-009
specs/063-corpus-discoverability/spec.html#FR-007</t>
  </si>
  <si>
    <t xml:space="preserve">prose "superseded by" + link</t>
  </si>
  <si>
    <t xml:space="preserve">062's migration slice recorded the meta-repo's corpus role as consumer-only — its knowledge/ read from and dogfooded, carrying no distributable root marketplace.json . That stance is superseded by 063-corpus-discoverability (FR-007) : a corpus is discoverable  … Discoverable-by-default SHOULD supersede 062 FR-009 's consumer-only default; landing this MUST retract that clause via a MODIFY-FR-009 propose on 062 (recorded, never a silent contradiction), and the meta-repo MUST publish its own corpus as the dogfood.</t>
  </si>
  <si>
    <t xml:space="preserve">H-009</t>
  </si>
  <si>
    <t xml:space="preserve">A withdrawn change to spec 003 argued that the list of files init must write was wrong. How far off was it, and what did it want instead?</t>
  </si>
  <si>
    <t xml:space="preserve">The requirement said 16 files where the bundle ships 27 (and named a renamed command); it proposed writing the bundle's contents instead of a list.</t>
  </si>
  <si>
    <t xml:space="preserve">FR-002 enumerated a 16-file structure (eight commands, two assets, six templates), but the bundle ships 27 (five assets, fourteen templates) and one named command, plan, had been renamed design. It proposed removing the enumeration so init writes whatever the bundle carries (excluding opt-in extended verbs) while keeping the byte-identity guarantee.</t>
  </si>
  <si>
    <t xml:space="preserve">specs/003-init-node-port/changes/withdrawn/2026-08-15-the-bundle-is-the-list/proposal.html#intent
specs/003-init-node-port/changes/withdrawn/2026-08-15-the-bundle-is-the-list/proposal.html#FR-002</t>
  </si>
  <si>
    <t xml:space="preserve">withdrawn proposal</t>
  </si>
  <si>
    <t xml:space="preserve">1 · Intent Triage meta-spec T-026 found that init ships three subagent definitions and installs none of them, so every downstream project has run /spectastic.propose with no spectastic-critic — the adversarial pass silently absent. The obvious fix is a one-lin … The subcommand MUST write the lifecycle scaffold carried in the bundle shipped inside @spectastic/cli , at the destination layout the bundle declares, excluding any file marked as an opt-in extended verb. Every written file MUST be byte-identical to the file s</t>
  </si>
  <si>
    <t xml:space="preserve">H-010</t>
  </si>
  <si>
    <t xml:space="preserve">Why was the proposal to make spec 099's embedded view address each screen by its resource coordinate abandoned?</t>
  </si>
  <si>
    <t xml:space="preserve">The view lacks the inputs to build the coordinate, and the coordinate (by name) would disagree with the view's heading (by id).</t>
  </si>
  <si>
    <t xml:space="preserve">The adversarial risk pass showed the view could not compose the coordinate: the builder needs project, spec id and screen name, none of which the view holds (it deliberately omits the name), and the coordinate keys on the declared name while the view's heading shows the id, so the address and its label would disagree. The risk was upheld and it killed the change.</t>
  </si>
  <si>
    <t xml:space="preserve">specs/099-visual-embedded-view/changes/withdrawn/2026-08-18-the-coordinate-gets-a-consumer/proposal.html#risks</t>
  </si>
  <si>
    <t xml:space="preserve">5 · Risk register Populated by the adversarial risk pass. This proposal adds a must -tier requirement. The view structurally cannot compose the coordinate, and the proposal budgets it as one line. screenResourceUri(project, specId, name) — the view holds none </t>
  </si>
  <si>
    <t xml:space="preserve">H-011</t>
  </si>
  <si>
    <t xml:space="preserve">Re-running the design command used to wipe out things an author had added to a design. What was lost, and what now prevents it?</t>
  </si>
  <si>
    <t xml:space="preserve">Visual, contract and hand-written content were erased; FR-016 now requires re-entry to preserve them.</t>
  </si>
  <si>
    <t xml:space="preserve">The kernel re-rendered design.html from a fixed schema, so a single ordinary run took spec-visual, spec-contract and hand-authored content from 1 each to 0. FR-016 now requires re-entry to preserve &lt;spec-contract&gt; and &lt;spec-visual&gt; and never discard one silently, extending FR-011, which only protected decisions.</t>
  </si>
  <si>
    <t xml:space="preserve">specs/012-core-plan/spec.html#FR-016
specs/012-core-plan/changes/archive/2026-08-23-preserve-what-the-generator-does-not-emit/proposal.html#intent</t>
  </si>
  <si>
    <t xml:space="preserve">applied proposal → current requirement</t>
  </si>
  <si>
    <t xml:space="preserve">Re-entry MUST preserve the interface and visual-surface declarations ( &lt;spec-contract&gt; , &lt;spec-visual&gt; ) carried by the existing design, and MUST NOT discard one silently. Rationale Extends FR-011 , which states this for &lt;spec-decision&gt; alone and is therefore  … 1 · Intent The kernel renders a complete design.html from the model's fixed JSON schema and writes it over whatever was there, so content the schema has no field for cannot survive. Measured on a Draft design carrying three things a person had put in it, then </t>
  </si>
  <si>
    <t xml:space="preserve">H-012</t>
  </si>
  <si>
    <t xml:space="preserve">Why was spec 105's task for reporting a disagreement between a declared design token and a derived value retired?</t>
  </si>
  <si>
    <t xml:space="preserve">Its requirement (FR-018) could never fire and was withdrawn before the change applied.</t>
  </si>
  <si>
    <t xml:space="preserve">It implemented FR-018, which the adversarial pass showed could never fire and which was withdrawn from the proposal (a-declared-token-is-not-a-guess) before it applied. The removal of the task missed on a whitespace difference and silently did nothing, so the task was retired anyway.</t>
  </si>
  <si>
    <t xml:space="preserve">specs/105-design-source-import/tasks.html#T-1404</t>
  </si>
  <si>
    <t xml:space="preserve">superseded (retired) task</t>
  </si>
  <si>
    <t xml:space="preserve">Report a declared/derived disagreement in the manifest, naming both values and resolving neither. Retired by 2026-08-17-a-declared-token-is-not-a-guess — it implements FR-018, which the adversarial pass showed could never fire and which was withdrawn from that</t>
  </si>
  <si>
    <t xml:space="preserve">H-013</t>
  </si>
  <si>
    <t xml:space="preserve">Why couldn't the principles command ship before the triage command, and what did it need from it?</t>
  </si>
  <si>
    <t xml:space="preserve">It needed triage's ClaudeProvider (the first AI provider) for chat calls, so it shipped after triage.</t>
  </si>
  <si>
    <t xml:space="preserve">Principles (008 D-005) depends on triage's ClaudeProvider for ctx.ai.chat(), so it landed as a single PR after 007 published, as v0.1.0-pre.10. 007 D-001 is that ClaudeProvider, the first AIProvider implementation, built on the Anthropic SDK.</t>
  </si>
  <si>
    <t xml:space="preserve">specs/008-core-principles/design.html#D-005
specs/007-core-triage/design.html#D-001</t>
  </si>
  <si>
    <t xml:space="preserve">D-005 · Single-PR migration; ships as v0.1.0-pre.10 after 007 lands Status Accepted Context 008 depends on 007's ClaudeProvider for ctx.ai.chat() . 006 (pre.8) and 007 (pre.9) established the single-PR cadence. Decision Land 008 as a single PR after 007 publis … D-001 · ClaudeProvider implementation via @anthropic-ai/sdk Status Accepted Context The kernel's AIProvider interface (006 FR-007) declared three methods; this slice lands the first concrete implementation. The official Anthropic SDK is the lowest-friction pat</t>
  </si>
  <si>
    <t xml:space="preserve">Sign-off progress</t>
  </si>
  <si>
    <t xml:space="preserve">Questions</t>
  </si>
  <si>
    <t xml:space="preserve">OK</t>
  </si>
  <si>
    <t xml:space="preserve">Fix</t>
  </si>
  <si>
    <t xml:space="preserve">Drop</t>
  </si>
  <si>
    <t xml:space="preserve">Not yet reviewed</t>
  </si>
  <si>
    <t xml:space="preserve">Signed off by</t>
  </si>
  <si>
    <t xml:space="preserve">• What this is: the 50 golden questions plus 13 new held-out ones (shaded purple), for one sign-off pass before the set is frozen.</t>
  </si>
  <si>
    <t xml:space="preserve">• Your verdict: OK, fix (say what in "Your fix") or drop. Blank means not yet reviewed.</t>
  </si>
  <si>
    <t xml:space="preserve">• Core answer: the least an answer must say to be labelled correct, under the labelling rule (judge against the question; the reference is the fact check). Drafted by Claude from your notes on G-013, G-015, G-018 and G-024. It is what Episodes 4 to 7 label against, and what the Episode 7 judges will check.</t>
  </si>
  <si>
    <t xml:space="preserve">• Full reference answer: unchanged; it stays as the fact check.</t>
  </si>
  <si>
    <t xml:space="preserve">• Held-out questions: scored once at the end of each episode, never used while building, so a gain cannot come from fitting them. Claude wrote them before any Episode 4 code, and every Episode 4 setting is fixed in advance; that is the protection, since the author of the code has seen them.</t>
  </si>
  <si>
    <t xml:space="preserve">• Held-out mix: 5 relation questions where a typed link (validates, defer-to) connects the answer, 3 where the relationship is only in prose, and 5 history questions about withdrawn, retired or superseded material.</t>
  </si>
  <si>
    <t xml:space="preserve">• Watch for: H-009, H-010 and H-012 expect withdrawn or retired elements. Episode 4's lifecycle filter, as planned, would hide them, so the ratchet will flag a regression unless the filter lets history through when a question asks about history. That is deliberate: it is the test that the filter is not blunt.</t>
  </si>
  <si>
    <t xml:space="preserve">• Link to the answer: how spectastic connects the question's starting point to its answer (held-out only).</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</si>
</sst>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name val="Arial"/>
      <family val="0"/>
      <charset val="1"/>
    </font>
    <font>
      <b val="true"/>
      <sz val="10"/>
      <name val="Arial"/>
      <family val="0"/>
      <charset val="1"/>
    </font>
  </fonts>
  <fills count="6">
    <fill>
      <patternFill patternType="none"/>
    </fill>
    <fill>
      <patternFill patternType="gray125"/>
    </fill>
    <fill>
      <patternFill patternType="solid">
        <fgColor rgb="FF305496"/>
        <bgColor rgb="FF666699"/>
      </patternFill>
    </fill>
    <fill>
      <patternFill patternType="solid">
        <fgColor rgb="FFBF8F00"/>
        <bgColor rgb="FF808000"/>
      </patternFill>
    </fill>
    <fill>
      <patternFill patternType="solid">
        <fgColor rgb="FFFFFF00"/>
        <bgColor rgb="FFFFFF00"/>
      </patternFill>
    </fill>
    <fill>
      <patternFill patternType="solid">
        <fgColor rgb="FFEDE7F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305496"/>
          <bgColor rgb="FF000000"/>
        </patternFill>
      </fill>
    </dxf>
    <dxf>
      <fill>
        <patternFill patternType="solid">
          <fgColor rgb="FFEDE7F6"/>
          <bgColor rgb="FF000000"/>
        </patternFill>
      </fill>
    </dxf>
    <dxf>
      <fill>
        <patternFill patternType="solid">
          <bgColor rgb="FF000000"/>
        </patternFill>
      </fill>
    </dxf>
    <dxf>
      <fill>
        <patternFill patternType="solid">
          <fgColor rgb="FFFFFFFF"/>
          <bgColor rgb="FF000000"/>
        </patternFill>
      </fill>
    </dxf>
    <dxf>
      <fill>
        <patternFill patternType="solid">
          <fgColor rgb="FFBF8F00"/>
          <bgColor rgb="FF000000"/>
        </patternFill>
      </fill>
    </dxf>
    <dxf>
      <fill>
        <patternFill patternType="solid">
          <fgColor rgb="FFFFFF00"/>
          <bgColor rgb="FF000000"/>
        </patternFill>
      </fill>
    </dxf>
    <dxf>
      <fill>
        <patternFill>
          <bgColor rgb="FFF8CBAD"/>
        </patternFill>
      </fill>
    </dxf>
    <dxf>
      <fill>
        <patternFill>
          <bgColor rgb="FFFF99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7F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99"/>
      <rgbColor rgb="FFCC99FF"/>
      <rgbColor rgb="FFF8CBAD"/>
      <rgbColor rgb="FF3366FF"/>
      <rgbColor rgb="FF33CCCC"/>
      <rgbColor rgb="FF99CC00"/>
      <rgbColor rgb="FFFFCC00"/>
      <rgbColor rgb="FFBF8F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11"/>
    <col collapsed="false" customWidth="true" hidden="false" outlineLevel="0" max="4" min="4" style="0" width="42"/>
    <col collapsed="false" customWidth="true" hidden="false" outlineLevel="0" max="5" min="5" style="0" width="40"/>
    <col collapsed="false" customWidth="true" hidden="false" outlineLevel="0" max="6" min="6" style="0" width="50"/>
    <col collapsed="false" customWidth="true" hidden="false" outlineLevel="0" max="7" min="7" style="0" width="12"/>
    <col collapsed="false" customWidth="true" hidden="false" outlineLevel="0" max="8" min="8" style="0" width="36"/>
    <col collapsed="false" customWidth="true" hidden="false" outlineLevel="0" max="9" min="9" style="0" width="40"/>
    <col collapsed="false" customWidth="true" hidden="false" outlineLevel="0" max="10" min="10" style="0" width="18"/>
    <col collapsed="false" customWidth="true" hidden="false" outlineLevel="0" max="11" min="11" style="0" width="60"/>
  </cols>
  <sheetData>
    <row r="1" customFormat="false" ht="36" hidden="false" customHeight="true" outlineLevel="0" collapsed="false">
      <c r="A1" s="1" t="s">
        <v>0</v>
      </c>
      <c r="B1" s="1" t="s">
        <v>1</v>
      </c>
      <c r="C1" s="1" t="s">
        <v>2</v>
      </c>
      <c r="D1" s="1" t="s">
        <v>3</v>
      </c>
      <c r="E1" s="1" t="s">
        <v>4</v>
      </c>
      <c r="F1" s="1" t="s">
        <v>5</v>
      </c>
      <c r="G1" s="2" t="s">
        <v>6</v>
      </c>
      <c r="H1" s="2" t="s">
        <v>7</v>
      </c>
      <c r="I1" s="1" t="s">
        <v>8</v>
      </c>
      <c r="J1" s="1" t="s">
        <v>9</v>
      </c>
      <c r="K1" s="1" t="s">
        <v>10</v>
      </c>
    </row>
    <row r="2" customFormat="false" ht="109.5" hidden="false" customHeight="true" outlineLevel="0" collapsed="false">
      <c r="A2" s="3" t="s">
        <v>11</v>
      </c>
      <c r="B2" s="3" t="s">
        <v>12</v>
      </c>
      <c r="C2" s="3" t="s">
        <v>13</v>
      </c>
      <c r="D2" s="3" t="s">
        <v>14</v>
      </c>
      <c r="E2" s="3" t="s">
        <v>15</v>
      </c>
      <c r="F2" s="3" t="s">
        <v>16</v>
      </c>
      <c r="G2" s="4"/>
      <c r="H2" s="4"/>
      <c r="I2" s="3" t="s">
        <v>17</v>
      </c>
      <c r="J2" s="3"/>
      <c r="K2" s="3" t="s">
        <v>18</v>
      </c>
    </row>
    <row r="3" customFormat="false" ht="109.5" hidden="false" customHeight="true" outlineLevel="0" collapsed="false">
      <c r="A3" s="3" t="s">
        <v>19</v>
      </c>
      <c r="B3" s="3" t="s">
        <v>12</v>
      </c>
      <c r="C3" s="3" t="s">
        <v>13</v>
      </c>
      <c r="D3" s="3" t="s">
        <v>20</v>
      </c>
      <c r="E3" s="3" t="s">
        <v>21</v>
      </c>
      <c r="F3" s="3" t="s">
        <v>22</v>
      </c>
      <c r="G3" s="4"/>
      <c r="H3" s="4"/>
      <c r="I3" s="3" t="s">
        <v>23</v>
      </c>
      <c r="J3" s="3"/>
      <c r="K3" s="3" t="s">
        <v>24</v>
      </c>
    </row>
    <row r="4" customFormat="false" ht="109.5" hidden="false" customHeight="true" outlineLevel="0" collapsed="false">
      <c r="A4" s="3" t="s">
        <v>25</v>
      </c>
      <c r="B4" s="3" t="s">
        <v>12</v>
      </c>
      <c r="C4" s="3" t="s">
        <v>13</v>
      </c>
      <c r="D4" s="3" t="s">
        <v>26</v>
      </c>
      <c r="E4" s="3" t="s">
        <v>27</v>
      </c>
      <c r="F4" s="3" t="s">
        <v>28</v>
      </c>
      <c r="G4" s="4"/>
      <c r="H4" s="4"/>
      <c r="I4" s="3" t="s">
        <v>29</v>
      </c>
      <c r="J4" s="3"/>
      <c r="K4" s="3" t="s">
        <v>30</v>
      </c>
    </row>
    <row r="5" customFormat="false" ht="109.5" hidden="false" customHeight="true" outlineLevel="0" collapsed="false">
      <c r="A5" s="3" t="s">
        <v>31</v>
      </c>
      <c r="B5" s="3" t="s">
        <v>12</v>
      </c>
      <c r="C5" s="3" t="s">
        <v>13</v>
      </c>
      <c r="D5" s="3" t="s">
        <v>32</v>
      </c>
      <c r="E5" s="3" t="s">
        <v>33</v>
      </c>
      <c r="F5" s="3" t="s">
        <v>34</v>
      </c>
      <c r="G5" s="4"/>
      <c r="H5" s="4"/>
      <c r="I5" s="3" t="s">
        <v>35</v>
      </c>
      <c r="J5" s="3"/>
      <c r="K5" s="3" t="s">
        <v>36</v>
      </c>
    </row>
    <row r="6" customFormat="false" ht="109.5" hidden="false" customHeight="true" outlineLevel="0" collapsed="false">
      <c r="A6" s="3" t="s">
        <v>37</v>
      </c>
      <c r="B6" s="3" t="s">
        <v>12</v>
      </c>
      <c r="C6" s="3" t="s">
        <v>13</v>
      </c>
      <c r="D6" s="3" t="s">
        <v>38</v>
      </c>
      <c r="E6" s="3" t="s">
        <v>39</v>
      </c>
      <c r="F6" s="3" t="s">
        <v>40</v>
      </c>
      <c r="G6" s="4"/>
      <c r="H6" s="4"/>
      <c r="I6" s="3" t="s">
        <v>41</v>
      </c>
      <c r="J6" s="3"/>
      <c r="K6" s="3" t="s">
        <v>42</v>
      </c>
    </row>
    <row r="7" customFormat="false" ht="109.5" hidden="false" customHeight="true" outlineLevel="0" collapsed="false">
      <c r="A7" s="3" t="s">
        <v>43</v>
      </c>
      <c r="B7" s="3" t="s">
        <v>12</v>
      </c>
      <c r="C7" s="3" t="s">
        <v>13</v>
      </c>
      <c r="D7" s="3" t="s">
        <v>44</v>
      </c>
      <c r="E7" s="3" t="s">
        <v>45</v>
      </c>
      <c r="F7" s="3" t="s">
        <v>46</v>
      </c>
      <c r="G7" s="4"/>
      <c r="H7" s="4"/>
      <c r="I7" s="3" t="s">
        <v>47</v>
      </c>
      <c r="J7" s="3"/>
      <c r="K7" s="3" t="s">
        <v>48</v>
      </c>
    </row>
    <row r="8" customFormat="false" ht="109.5" hidden="false" customHeight="true" outlineLevel="0" collapsed="false">
      <c r="A8" s="3" t="s">
        <v>49</v>
      </c>
      <c r="B8" s="3" t="s">
        <v>12</v>
      </c>
      <c r="C8" s="3" t="s">
        <v>13</v>
      </c>
      <c r="D8" s="3" t="s">
        <v>50</v>
      </c>
      <c r="E8" s="3" t="s">
        <v>51</v>
      </c>
      <c r="F8" s="3" t="s">
        <v>52</v>
      </c>
      <c r="G8" s="4"/>
      <c r="H8" s="4"/>
      <c r="I8" s="3" t="s">
        <v>53</v>
      </c>
      <c r="J8" s="3"/>
      <c r="K8" s="3" t="s">
        <v>54</v>
      </c>
    </row>
    <row r="9" customFormat="false" ht="109.5" hidden="false" customHeight="true" outlineLevel="0" collapsed="false">
      <c r="A9" s="3" t="s">
        <v>55</v>
      </c>
      <c r="B9" s="3" t="s">
        <v>12</v>
      </c>
      <c r="C9" s="3" t="s">
        <v>13</v>
      </c>
      <c r="D9" s="3" t="s">
        <v>56</v>
      </c>
      <c r="E9" s="3" t="s">
        <v>57</v>
      </c>
      <c r="F9" s="3" t="s">
        <v>58</v>
      </c>
      <c r="G9" s="4"/>
      <c r="H9" s="4"/>
      <c r="I9" s="3" t="s">
        <v>59</v>
      </c>
      <c r="J9" s="3"/>
      <c r="K9" s="3" t="s">
        <v>60</v>
      </c>
    </row>
    <row r="10" customFormat="false" ht="109.5" hidden="false" customHeight="true" outlineLevel="0" collapsed="false">
      <c r="A10" s="3" t="s">
        <v>61</v>
      </c>
      <c r="B10" s="3" t="s">
        <v>12</v>
      </c>
      <c r="C10" s="3" t="s">
        <v>13</v>
      </c>
      <c r="D10" s="3" t="s">
        <v>62</v>
      </c>
      <c r="E10" s="3" t="s">
        <v>63</v>
      </c>
      <c r="F10" s="3" t="s">
        <v>64</v>
      </c>
      <c r="G10" s="4"/>
      <c r="H10" s="4"/>
      <c r="I10" s="3" t="s">
        <v>65</v>
      </c>
      <c r="J10" s="3"/>
      <c r="K10" s="3" t="s">
        <v>66</v>
      </c>
    </row>
    <row r="11" customFormat="false" ht="109.5" hidden="false" customHeight="true" outlineLevel="0" collapsed="false">
      <c r="A11" s="3" t="s">
        <v>67</v>
      </c>
      <c r="B11" s="3" t="s">
        <v>12</v>
      </c>
      <c r="C11" s="3" t="s">
        <v>13</v>
      </c>
      <c r="D11" s="3" t="s">
        <v>68</v>
      </c>
      <c r="E11" s="3" t="s">
        <v>69</v>
      </c>
      <c r="F11" s="3" t="s">
        <v>70</v>
      </c>
      <c r="G11" s="4"/>
      <c r="H11" s="4"/>
      <c r="I11" s="3" t="s">
        <v>71</v>
      </c>
      <c r="J11" s="3"/>
      <c r="K11" s="3" t="s">
        <v>72</v>
      </c>
    </row>
    <row r="12" customFormat="false" ht="109.5" hidden="false" customHeight="true" outlineLevel="0" collapsed="false">
      <c r="A12" s="3" t="s">
        <v>73</v>
      </c>
      <c r="B12" s="3" t="s">
        <v>12</v>
      </c>
      <c r="C12" s="3" t="s">
        <v>74</v>
      </c>
      <c r="D12" s="3" t="s">
        <v>75</v>
      </c>
      <c r="E12" s="3" t="s">
        <v>76</v>
      </c>
      <c r="F12" s="3" t="s">
        <v>77</v>
      </c>
      <c r="G12" s="4"/>
      <c r="H12" s="4"/>
      <c r="I12" s="3" t="s">
        <v>78</v>
      </c>
      <c r="J12" s="3"/>
      <c r="K12" s="3" t="s">
        <v>79</v>
      </c>
    </row>
    <row r="13" customFormat="false" ht="109.5" hidden="false" customHeight="true" outlineLevel="0" collapsed="false">
      <c r="A13" s="3" t="s">
        <v>80</v>
      </c>
      <c r="B13" s="3" t="s">
        <v>12</v>
      </c>
      <c r="C13" s="3" t="s">
        <v>74</v>
      </c>
      <c r="D13" s="3" t="s">
        <v>81</v>
      </c>
      <c r="E13" s="3" t="s">
        <v>82</v>
      </c>
      <c r="F13" s="3" t="s">
        <v>83</v>
      </c>
      <c r="G13" s="4"/>
      <c r="H13" s="4"/>
      <c r="I13" s="3" t="s">
        <v>84</v>
      </c>
      <c r="J13" s="3"/>
      <c r="K13" s="3" t="s">
        <v>85</v>
      </c>
    </row>
    <row r="14" customFormat="false" ht="109.5" hidden="false" customHeight="true" outlineLevel="0" collapsed="false">
      <c r="A14" s="3" t="s">
        <v>86</v>
      </c>
      <c r="B14" s="3" t="s">
        <v>12</v>
      </c>
      <c r="C14" s="3" t="s">
        <v>74</v>
      </c>
      <c r="D14" s="3" t="s">
        <v>87</v>
      </c>
      <c r="E14" s="3" t="s">
        <v>88</v>
      </c>
      <c r="F14" s="3" t="s">
        <v>89</v>
      </c>
      <c r="G14" s="4"/>
      <c r="H14" s="4"/>
      <c r="I14" s="3" t="s">
        <v>90</v>
      </c>
      <c r="J14" s="3"/>
      <c r="K14" s="3" t="s">
        <v>91</v>
      </c>
    </row>
    <row r="15" customFormat="false" ht="109.5" hidden="false" customHeight="true" outlineLevel="0" collapsed="false">
      <c r="A15" s="3" t="s">
        <v>92</v>
      </c>
      <c r="B15" s="3" t="s">
        <v>12</v>
      </c>
      <c r="C15" s="3" t="s">
        <v>74</v>
      </c>
      <c r="D15" s="3" t="s">
        <v>93</v>
      </c>
      <c r="E15" s="3" t="s">
        <v>94</v>
      </c>
      <c r="F15" s="3" t="s">
        <v>95</v>
      </c>
      <c r="G15" s="4"/>
      <c r="H15" s="4"/>
      <c r="I15" s="3" t="s">
        <v>96</v>
      </c>
      <c r="J15" s="3"/>
      <c r="K15" s="3" t="s">
        <v>97</v>
      </c>
    </row>
    <row r="16" customFormat="false" ht="109.5" hidden="false" customHeight="true" outlineLevel="0" collapsed="false">
      <c r="A16" s="3" t="s">
        <v>98</v>
      </c>
      <c r="B16" s="3" t="s">
        <v>12</v>
      </c>
      <c r="C16" s="3" t="s">
        <v>74</v>
      </c>
      <c r="D16" s="3" t="s">
        <v>99</v>
      </c>
      <c r="E16" s="3" t="s">
        <v>100</v>
      </c>
      <c r="F16" s="3" t="s">
        <v>101</v>
      </c>
      <c r="G16" s="4"/>
      <c r="H16" s="4"/>
      <c r="I16" s="3" t="s">
        <v>102</v>
      </c>
      <c r="J16" s="3"/>
      <c r="K16" s="3" t="s">
        <v>103</v>
      </c>
    </row>
    <row r="17" customFormat="false" ht="109.5" hidden="false" customHeight="true" outlineLevel="0" collapsed="false">
      <c r="A17" s="3" t="s">
        <v>104</v>
      </c>
      <c r="B17" s="3" t="s">
        <v>12</v>
      </c>
      <c r="C17" s="3" t="s">
        <v>74</v>
      </c>
      <c r="D17" s="3" t="s">
        <v>105</v>
      </c>
      <c r="E17" s="3" t="s">
        <v>106</v>
      </c>
      <c r="F17" s="3" t="s">
        <v>107</v>
      </c>
      <c r="G17" s="4"/>
      <c r="H17" s="4"/>
      <c r="I17" s="3" t="s">
        <v>108</v>
      </c>
      <c r="J17" s="3"/>
      <c r="K17" s="3" t="s">
        <v>109</v>
      </c>
    </row>
    <row r="18" customFormat="false" ht="109.5" hidden="false" customHeight="true" outlineLevel="0" collapsed="false">
      <c r="A18" s="3" t="s">
        <v>110</v>
      </c>
      <c r="B18" s="3" t="s">
        <v>12</v>
      </c>
      <c r="C18" s="3" t="s">
        <v>74</v>
      </c>
      <c r="D18" s="3" t="s">
        <v>111</v>
      </c>
      <c r="E18" s="3" t="s">
        <v>112</v>
      </c>
      <c r="F18" s="3" t="s">
        <v>113</v>
      </c>
      <c r="G18" s="4"/>
      <c r="H18" s="4"/>
      <c r="I18" s="3" t="s">
        <v>114</v>
      </c>
      <c r="J18" s="3"/>
      <c r="K18" s="3" t="s">
        <v>115</v>
      </c>
    </row>
    <row r="19" customFormat="false" ht="109.5" hidden="false" customHeight="true" outlineLevel="0" collapsed="false">
      <c r="A19" s="3" t="s">
        <v>116</v>
      </c>
      <c r="B19" s="3" t="s">
        <v>12</v>
      </c>
      <c r="C19" s="3" t="s">
        <v>74</v>
      </c>
      <c r="D19" s="3" t="s">
        <v>117</v>
      </c>
      <c r="E19" s="3" t="s">
        <v>118</v>
      </c>
      <c r="F19" s="3" t="s">
        <v>119</v>
      </c>
      <c r="G19" s="4"/>
      <c r="H19" s="4"/>
      <c r="I19" s="3" t="s">
        <v>120</v>
      </c>
      <c r="J19" s="3"/>
      <c r="K19" s="3" t="s">
        <v>121</v>
      </c>
    </row>
    <row r="20" customFormat="false" ht="109.5" hidden="false" customHeight="true" outlineLevel="0" collapsed="false">
      <c r="A20" s="3" t="s">
        <v>122</v>
      </c>
      <c r="B20" s="3" t="s">
        <v>12</v>
      </c>
      <c r="C20" s="3" t="s">
        <v>74</v>
      </c>
      <c r="D20" s="3" t="s">
        <v>123</v>
      </c>
      <c r="E20" s="3" t="s">
        <v>124</v>
      </c>
      <c r="F20" s="3" t="s">
        <v>125</v>
      </c>
      <c r="G20" s="4"/>
      <c r="H20" s="4"/>
      <c r="I20" s="3" t="s">
        <v>126</v>
      </c>
      <c r="J20" s="3"/>
      <c r="K20" s="3" t="s">
        <v>127</v>
      </c>
    </row>
    <row r="21" customFormat="false" ht="109.5" hidden="false" customHeight="true" outlineLevel="0" collapsed="false">
      <c r="A21" s="3" t="s">
        <v>128</v>
      </c>
      <c r="B21" s="3" t="s">
        <v>12</v>
      </c>
      <c r="C21" s="3" t="s">
        <v>74</v>
      </c>
      <c r="D21" s="3" t="s">
        <v>129</v>
      </c>
      <c r="E21" s="3" t="s">
        <v>130</v>
      </c>
      <c r="F21" s="3" t="s">
        <v>131</v>
      </c>
      <c r="G21" s="4"/>
      <c r="H21" s="4"/>
      <c r="I21" s="3" t="s">
        <v>132</v>
      </c>
      <c r="J21" s="3"/>
      <c r="K21" s="3" t="s">
        <v>133</v>
      </c>
    </row>
    <row r="22" customFormat="false" ht="109.5" hidden="false" customHeight="true" outlineLevel="0" collapsed="false">
      <c r="A22" s="3" t="s">
        <v>134</v>
      </c>
      <c r="B22" s="3" t="s">
        <v>12</v>
      </c>
      <c r="C22" s="3" t="s">
        <v>135</v>
      </c>
      <c r="D22" s="3" t="s">
        <v>136</v>
      </c>
      <c r="E22" s="3" t="s">
        <v>137</v>
      </c>
      <c r="F22" s="3" t="s">
        <v>138</v>
      </c>
      <c r="G22" s="4"/>
      <c r="H22" s="4"/>
      <c r="I22" s="3" t="s">
        <v>139</v>
      </c>
      <c r="J22" s="3"/>
      <c r="K22" s="3" t="s">
        <v>140</v>
      </c>
    </row>
    <row r="23" customFormat="false" ht="109.5" hidden="false" customHeight="true" outlineLevel="0" collapsed="false">
      <c r="A23" s="3" t="s">
        <v>141</v>
      </c>
      <c r="B23" s="3" t="s">
        <v>12</v>
      </c>
      <c r="C23" s="3" t="s">
        <v>135</v>
      </c>
      <c r="D23" s="3" t="s">
        <v>142</v>
      </c>
      <c r="E23" s="3" t="s">
        <v>143</v>
      </c>
      <c r="F23" s="3" t="s">
        <v>144</v>
      </c>
      <c r="G23" s="4"/>
      <c r="H23" s="4"/>
      <c r="I23" s="3" t="s">
        <v>145</v>
      </c>
      <c r="J23" s="3"/>
      <c r="K23" s="3" t="s">
        <v>146</v>
      </c>
    </row>
    <row r="24" customFormat="false" ht="109.5" hidden="false" customHeight="true" outlineLevel="0" collapsed="false">
      <c r="A24" s="3" t="s">
        <v>147</v>
      </c>
      <c r="B24" s="3" t="s">
        <v>12</v>
      </c>
      <c r="C24" s="3" t="s">
        <v>135</v>
      </c>
      <c r="D24" s="3" t="s">
        <v>148</v>
      </c>
      <c r="E24" s="3" t="s">
        <v>149</v>
      </c>
      <c r="F24" s="3" t="s">
        <v>150</v>
      </c>
      <c r="G24" s="4"/>
      <c r="H24" s="4"/>
      <c r="I24" s="3" t="s">
        <v>151</v>
      </c>
      <c r="J24" s="3"/>
      <c r="K24" s="3" t="s">
        <v>152</v>
      </c>
    </row>
    <row r="25" customFormat="false" ht="109.5" hidden="false" customHeight="true" outlineLevel="0" collapsed="false">
      <c r="A25" s="3" t="s">
        <v>153</v>
      </c>
      <c r="B25" s="3" t="s">
        <v>12</v>
      </c>
      <c r="C25" s="3" t="s">
        <v>135</v>
      </c>
      <c r="D25" s="3" t="s">
        <v>154</v>
      </c>
      <c r="E25" s="3" t="s">
        <v>155</v>
      </c>
      <c r="F25" s="3" t="s">
        <v>156</v>
      </c>
      <c r="G25" s="4"/>
      <c r="H25" s="4"/>
      <c r="I25" s="3" t="s">
        <v>157</v>
      </c>
      <c r="J25" s="3"/>
      <c r="K25" s="3" t="s">
        <v>158</v>
      </c>
    </row>
    <row r="26" customFormat="false" ht="109.5" hidden="false" customHeight="true" outlineLevel="0" collapsed="false">
      <c r="A26" s="3" t="s">
        <v>159</v>
      </c>
      <c r="B26" s="3" t="s">
        <v>12</v>
      </c>
      <c r="C26" s="3" t="s">
        <v>135</v>
      </c>
      <c r="D26" s="3" t="s">
        <v>160</v>
      </c>
      <c r="E26" s="3" t="s">
        <v>161</v>
      </c>
      <c r="F26" s="3" t="s">
        <v>162</v>
      </c>
      <c r="G26" s="4"/>
      <c r="H26" s="4"/>
      <c r="I26" s="3" t="s">
        <v>163</v>
      </c>
      <c r="J26" s="3"/>
      <c r="K26" s="3" t="s">
        <v>164</v>
      </c>
    </row>
    <row r="27" customFormat="false" ht="109.5" hidden="false" customHeight="true" outlineLevel="0" collapsed="false">
      <c r="A27" s="3" t="s">
        <v>165</v>
      </c>
      <c r="B27" s="3" t="s">
        <v>12</v>
      </c>
      <c r="C27" s="3" t="s">
        <v>135</v>
      </c>
      <c r="D27" s="3" t="s">
        <v>166</v>
      </c>
      <c r="E27" s="3" t="s">
        <v>167</v>
      </c>
      <c r="F27" s="3" t="s">
        <v>168</v>
      </c>
      <c r="G27" s="4"/>
      <c r="H27" s="4"/>
      <c r="I27" s="3" t="s">
        <v>169</v>
      </c>
      <c r="J27" s="3"/>
      <c r="K27" s="3" t="s">
        <v>170</v>
      </c>
    </row>
    <row r="28" customFormat="false" ht="109.5" hidden="false" customHeight="true" outlineLevel="0" collapsed="false">
      <c r="A28" s="3" t="s">
        <v>171</v>
      </c>
      <c r="B28" s="3" t="s">
        <v>12</v>
      </c>
      <c r="C28" s="3" t="s">
        <v>135</v>
      </c>
      <c r="D28" s="3" t="s">
        <v>172</v>
      </c>
      <c r="E28" s="3" t="s">
        <v>173</v>
      </c>
      <c r="F28" s="3" t="s">
        <v>174</v>
      </c>
      <c r="G28" s="4"/>
      <c r="H28" s="4"/>
      <c r="I28" s="3" t="s">
        <v>175</v>
      </c>
      <c r="J28" s="3"/>
      <c r="K28" s="3" t="s">
        <v>176</v>
      </c>
    </row>
    <row r="29" customFormat="false" ht="109.5" hidden="false" customHeight="true" outlineLevel="0" collapsed="false">
      <c r="A29" s="3" t="s">
        <v>177</v>
      </c>
      <c r="B29" s="3" t="s">
        <v>12</v>
      </c>
      <c r="C29" s="3" t="s">
        <v>135</v>
      </c>
      <c r="D29" s="3" t="s">
        <v>178</v>
      </c>
      <c r="E29" s="3" t="s">
        <v>179</v>
      </c>
      <c r="F29" s="3" t="s">
        <v>180</v>
      </c>
      <c r="G29" s="4"/>
      <c r="H29" s="4"/>
      <c r="I29" s="3" t="s">
        <v>181</v>
      </c>
      <c r="J29" s="3"/>
      <c r="K29" s="3" t="s">
        <v>180</v>
      </c>
    </row>
    <row r="30" customFormat="false" ht="109.5" hidden="false" customHeight="true" outlineLevel="0" collapsed="false">
      <c r="A30" s="3" t="s">
        <v>182</v>
      </c>
      <c r="B30" s="3" t="s">
        <v>12</v>
      </c>
      <c r="C30" s="3" t="s">
        <v>183</v>
      </c>
      <c r="D30" s="3" t="s">
        <v>184</v>
      </c>
      <c r="E30" s="3" t="s">
        <v>185</v>
      </c>
      <c r="F30" s="3" t="s">
        <v>186</v>
      </c>
      <c r="G30" s="4"/>
      <c r="H30" s="4"/>
      <c r="I30" s="3" t="s">
        <v>187</v>
      </c>
      <c r="J30" s="3"/>
      <c r="K30" s="3" t="s">
        <v>188</v>
      </c>
    </row>
    <row r="31" customFormat="false" ht="109.5" hidden="false" customHeight="true" outlineLevel="0" collapsed="false">
      <c r="A31" s="3" t="s">
        <v>189</v>
      </c>
      <c r="B31" s="3" t="s">
        <v>12</v>
      </c>
      <c r="C31" s="3" t="s">
        <v>183</v>
      </c>
      <c r="D31" s="3" t="s">
        <v>190</v>
      </c>
      <c r="E31" s="3" t="s">
        <v>191</v>
      </c>
      <c r="F31" s="3" t="s">
        <v>192</v>
      </c>
      <c r="G31" s="4"/>
      <c r="H31" s="4"/>
      <c r="I31" s="3" t="s">
        <v>193</v>
      </c>
      <c r="J31" s="3"/>
      <c r="K31" s="3" t="s">
        <v>115</v>
      </c>
    </row>
    <row r="32" customFormat="false" ht="109.5" hidden="false" customHeight="true" outlineLevel="0" collapsed="false">
      <c r="A32" s="3" t="s">
        <v>194</v>
      </c>
      <c r="B32" s="3" t="s">
        <v>12</v>
      </c>
      <c r="C32" s="3" t="s">
        <v>183</v>
      </c>
      <c r="D32" s="3" t="s">
        <v>195</v>
      </c>
      <c r="E32" s="3" t="s">
        <v>196</v>
      </c>
      <c r="F32" s="3" t="s">
        <v>197</v>
      </c>
      <c r="G32" s="4"/>
      <c r="H32" s="4"/>
      <c r="I32" s="3" t="s">
        <v>198</v>
      </c>
      <c r="J32" s="3"/>
      <c r="K32" s="3" t="s">
        <v>199</v>
      </c>
    </row>
    <row r="33" customFormat="false" ht="109.5" hidden="false" customHeight="true" outlineLevel="0" collapsed="false">
      <c r="A33" s="3" t="s">
        <v>200</v>
      </c>
      <c r="B33" s="3" t="s">
        <v>12</v>
      </c>
      <c r="C33" s="3" t="s">
        <v>183</v>
      </c>
      <c r="D33" s="3" t="s">
        <v>201</v>
      </c>
      <c r="E33" s="3" t="s">
        <v>202</v>
      </c>
      <c r="F33" s="3" t="s">
        <v>203</v>
      </c>
      <c r="G33" s="4"/>
      <c r="H33" s="4"/>
      <c r="I33" s="3" t="s">
        <v>204</v>
      </c>
      <c r="J33" s="3"/>
      <c r="K33" s="3" t="s">
        <v>205</v>
      </c>
    </row>
    <row r="34" customFormat="false" ht="109.5" hidden="false" customHeight="true" outlineLevel="0" collapsed="false">
      <c r="A34" s="3" t="s">
        <v>206</v>
      </c>
      <c r="B34" s="3" t="s">
        <v>12</v>
      </c>
      <c r="C34" s="3" t="s">
        <v>183</v>
      </c>
      <c r="D34" s="3" t="s">
        <v>207</v>
      </c>
      <c r="E34" s="3" t="s">
        <v>208</v>
      </c>
      <c r="F34" s="3" t="s">
        <v>209</v>
      </c>
      <c r="G34" s="4"/>
      <c r="H34" s="4"/>
      <c r="I34" s="3" t="s">
        <v>210</v>
      </c>
      <c r="J34" s="3"/>
      <c r="K34" s="3" t="s">
        <v>211</v>
      </c>
    </row>
    <row r="35" customFormat="false" ht="109.5" hidden="false" customHeight="true" outlineLevel="0" collapsed="false">
      <c r="A35" s="3" t="s">
        <v>212</v>
      </c>
      <c r="B35" s="3" t="s">
        <v>12</v>
      </c>
      <c r="C35" s="3" t="s">
        <v>183</v>
      </c>
      <c r="D35" s="3" t="s">
        <v>213</v>
      </c>
      <c r="E35" s="3" t="s">
        <v>214</v>
      </c>
      <c r="F35" s="3" t="s">
        <v>215</v>
      </c>
      <c r="G35" s="4"/>
      <c r="H35" s="4"/>
      <c r="I35" s="3" t="s">
        <v>216</v>
      </c>
      <c r="J35" s="3"/>
      <c r="K35" s="3" t="s">
        <v>217</v>
      </c>
    </row>
    <row r="36" customFormat="false" ht="109.5" hidden="false" customHeight="true" outlineLevel="0" collapsed="false">
      <c r="A36" s="3" t="s">
        <v>218</v>
      </c>
      <c r="B36" s="3" t="s">
        <v>12</v>
      </c>
      <c r="C36" s="3" t="s">
        <v>183</v>
      </c>
      <c r="D36" s="3" t="s">
        <v>219</v>
      </c>
      <c r="E36" s="3" t="s">
        <v>220</v>
      </c>
      <c r="F36" s="3" t="s">
        <v>221</v>
      </c>
      <c r="G36" s="4"/>
      <c r="H36" s="4"/>
      <c r="I36" s="3" t="s">
        <v>222</v>
      </c>
      <c r="J36" s="3"/>
      <c r="K36" s="3" t="s">
        <v>223</v>
      </c>
    </row>
    <row r="37" customFormat="false" ht="109.5" hidden="false" customHeight="true" outlineLevel="0" collapsed="false">
      <c r="A37" s="3" t="s">
        <v>224</v>
      </c>
      <c r="B37" s="3" t="s">
        <v>12</v>
      </c>
      <c r="C37" s="3" t="s">
        <v>183</v>
      </c>
      <c r="D37" s="3" t="s">
        <v>225</v>
      </c>
      <c r="E37" s="3" t="s">
        <v>226</v>
      </c>
      <c r="F37" s="3" t="s">
        <v>227</v>
      </c>
      <c r="G37" s="4"/>
      <c r="H37" s="4"/>
      <c r="I37" s="3" t="s">
        <v>228</v>
      </c>
      <c r="J37" s="3"/>
      <c r="K37" s="3" t="s">
        <v>229</v>
      </c>
    </row>
    <row r="38" customFormat="false" ht="109.5" hidden="false" customHeight="true" outlineLevel="0" collapsed="false">
      <c r="A38" s="3" t="s">
        <v>230</v>
      </c>
      <c r="B38" s="3" t="s">
        <v>12</v>
      </c>
      <c r="C38" s="3" t="s">
        <v>231</v>
      </c>
      <c r="D38" s="3" t="s">
        <v>232</v>
      </c>
      <c r="E38" s="3" t="s">
        <v>233</v>
      </c>
      <c r="F38" s="3" t="s">
        <v>234</v>
      </c>
      <c r="G38" s="4"/>
      <c r="H38" s="4"/>
      <c r="I38" s="3" t="s">
        <v>235</v>
      </c>
      <c r="J38" s="3"/>
      <c r="K38" s="3" t="s">
        <v>236</v>
      </c>
    </row>
    <row r="39" customFormat="false" ht="109.5" hidden="false" customHeight="true" outlineLevel="0" collapsed="false">
      <c r="A39" s="3" t="s">
        <v>237</v>
      </c>
      <c r="B39" s="3" t="s">
        <v>12</v>
      </c>
      <c r="C39" s="3" t="s">
        <v>231</v>
      </c>
      <c r="D39" s="3" t="s">
        <v>238</v>
      </c>
      <c r="E39" s="3" t="s">
        <v>239</v>
      </c>
      <c r="F39" s="3" t="s">
        <v>240</v>
      </c>
      <c r="G39" s="4"/>
      <c r="H39" s="4"/>
      <c r="I39" s="3" t="s">
        <v>241</v>
      </c>
      <c r="J39" s="3"/>
      <c r="K39" s="3" t="s">
        <v>242</v>
      </c>
    </row>
    <row r="40" customFormat="false" ht="109.5" hidden="false" customHeight="true" outlineLevel="0" collapsed="false">
      <c r="A40" s="3" t="s">
        <v>243</v>
      </c>
      <c r="B40" s="3" t="s">
        <v>12</v>
      </c>
      <c r="C40" s="3" t="s">
        <v>231</v>
      </c>
      <c r="D40" s="3" t="s">
        <v>244</v>
      </c>
      <c r="E40" s="3" t="s">
        <v>245</v>
      </c>
      <c r="F40" s="3" t="s">
        <v>246</v>
      </c>
      <c r="G40" s="4"/>
      <c r="H40" s="4"/>
      <c r="I40" s="3" t="s">
        <v>247</v>
      </c>
      <c r="J40" s="3"/>
      <c r="K40" s="3" t="s">
        <v>248</v>
      </c>
    </row>
    <row r="41" customFormat="false" ht="109.5" hidden="false" customHeight="true" outlineLevel="0" collapsed="false">
      <c r="A41" s="3" t="s">
        <v>249</v>
      </c>
      <c r="B41" s="3" t="s">
        <v>12</v>
      </c>
      <c r="C41" s="3" t="s">
        <v>231</v>
      </c>
      <c r="D41" s="3" t="s">
        <v>250</v>
      </c>
      <c r="E41" s="3" t="s">
        <v>251</v>
      </c>
      <c r="F41" s="3" t="s">
        <v>252</v>
      </c>
      <c r="G41" s="4"/>
      <c r="H41" s="4"/>
      <c r="I41" s="3" t="s">
        <v>253</v>
      </c>
      <c r="J41" s="3"/>
      <c r="K41" s="3" t="s">
        <v>254</v>
      </c>
    </row>
    <row r="42" customFormat="false" ht="109.5" hidden="false" customHeight="true" outlineLevel="0" collapsed="false">
      <c r="A42" s="3" t="s">
        <v>255</v>
      </c>
      <c r="B42" s="3" t="s">
        <v>12</v>
      </c>
      <c r="C42" s="3" t="s">
        <v>231</v>
      </c>
      <c r="D42" s="3" t="s">
        <v>256</v>
      </c>
      <c r="E42" s="3" t="s">
        <v>257</v>
      </c>
      <c r="F42" s="3" t="s">
        <v>258</v>
      </c>
      <c r="G42" s="4"/>
      <c r="H42" s="4"/>
      <c r="I42" s="3" t="s">
        <v>259</v>
      </c>
      <c r="J42" s="3"/>
      <c r="K42" s="3" t="s">
        <v>260</v>
      </c>
    </row>
    <row r="43" customFormat="false" ht="109.5" hidden="false" customHeight="true" outlineLevel="0" collapsed="false">
      <c r="A43" s="3" t="s">
        <v>261</v>
      </c>
      <c r="B43" s="3" t="s">
        <v>12</v>
      </c>
      <c r="C43" s="3" t="s">
        <v>231</v>
      </c>
      <c r="D43" s="3" t="s">
        <v>262</v>
      </c>
      <c r="E43" s="3" t="s">
        <v>263</v>
      </c>
      <c r="F43" s="3" t="s">
        <v>264</v>
      </c>
      <c r="G43" s="4"/>
      <c r="H43" s="4"/>
      <c r="I43" s="3" t="s">
        <v>265</v>
      </c>
      <c r="J43" s="3"/>
      <c r="K43" s="3" t="s">
        <v>266</v>
      </c>
    </row>
    <row r="44" customFormat="false" ht="109.5" hidden="false" customHeight="true" outlineLevel="0" collapsed="false">
      <c r="A44" s="3" t="s">
        <v>267</v>
      </c>
      <c r="B44" s="3" t="s">
        <v>12</v>
      </c>
      <c r="C44" s="3" t="s">
        <v>231</v>
      </c>
      <c r="D44" s="3" t="s">
        <v>268</v>
      </c>
      <c r="E44" s="3" t="s">
        <v>269</v>
      </c>
      <c r="F44" s="3" t="s">
        <v>270</v>
      </c>
      <c r="G44" s="4"/>
      <c r="H44" s="4"/>
      <c r="I44" s="3" t="s">
        <v>271</v>
      </c>
      <c r="J44" s="3"/>
      <c r="K44" s="3" t="s">
        <v>272</v>
      </c>
    </row>
    <row r="45" customFormat="false" ht="109.5" hidden="false" customHeight="true" outlineLevel="0" collapsed="false">
      <c r="A45" s="3" t="s">
        <v>273</v>
      </c>
      <c r="B45" s="3" t="s">
        <v>12</v>
      </c>
      <c r="C45" s="3" t="s">
        <v>231</v>
      </c>
      <c r="D45" s="3" t="s">
        <v>274</v>
      </c>
      <c r="E45" s="3" t="s">
        <v>275</v>
      </c>
      <c r="F45" s="3" t="s">
        <v>276</v>
      </c>
      <c r="G45" s="4"/>
      <c r="H45" s="4"/>
      <c r="I45" s="3" t="s">
        <v>277</v>
      </c>
      <c r="J45" s="3"/>
      <c r="K45" s="3" t="s">
        <v>278</v>
      </c>
    </row>
    <row r="46" customFormat="false" ht="109.5" hidden="false" customHeight="true" outlineLevel="0" collapsed="false">
      <c r="A46" s="3" t="s">
        <v>279</v>
      </c>
      <c r="B46" s="3" t="s">
        <v>12</v>
      </c>
      <c r="C46" s="3" t="s">
        <v>280</v>
      </c>
      <c r="D46" s="3" t="s">
        <v>281</v>
      </c>
      <c r="E46" s="3" t="s">
        <v>282</v>
      </c>
      <c r="F46" s="3" t="s">
        <v>283</v>
      </c>
      <c r="G46" s="4"/>
      <c r="H46" s="4"/>
      <c r="I46" s="3" t="s">
        <v>284</v>
      </c>
      <c r="J46" s="3"/>
      <c r="K46" s="3"/>
    </row>
    <row r="47" customFormat="false" ht="109.5" hidden="false" customHeight="true" outlineLevel="0" collapsed="false">
      <c r="A47" s="3" t="s">
        <v>285</v>
      </c>
      <c r="B47" s="3" t="s">
        <v>12</v>
      </c>
      <c r="C47" s="3" t="s">
        <v>280</v>
      </c>
      <c r="D47" s="3" t="s">
        <v>286</v>
      </c>
      <c r="E47" s="3" t="s">
        <v>282</v>
      </c>
      <c r="F47" s="3" t="s">
        <v>283</v>
      </c>
      <c r="G47" s="4"/>
      <c r="H47" s="4"/>
      <c r="I47" s="3" t="s">
        <v>284</v>
      </c>
      <c r="J47" s="3"/>
      <c r="K47" s="3"/>
    </row>
    <row r="48" customFormat="false" ht="109.5" hidden="false" customHeight="true" outlineLevel="0" collapsed="false">
      <c r="A48" s="3" t="s">
        <v>287</v>
      </c>
      <c r="B48" s="3" t="s">
        <v>12</v>
      </c>
      <c r="C48" s="3" t="s">
        <v>280</v>
      </c>
      <c r="D48" s="3" t="s">
        <v>288</v>
      </c>
      <c r="E48" s="3" t="s">
        <v>282</v>
      </c>
      <c r="F48" s="3" t="s">
        <v>283</v>
      </c>
      <c r="G48" s="4"/>
      <c r="H48" s="4"/>
      <c r="I48" s="3" t="s">
        <v>284</v>
      </c>
      <c r="J48" s="3"/>
      <c r="K48" s="3"/>
    </row>
    <row r="49" customFormat="false" ht="109.5" hidden="false" customHeight="true" outlineLevel="0" collapsed="false">
      <c r="A49" s="3" t="s">
        <v>289</v>
      </c>
      <c r="B49" s="3" t="s">
        <v>12</v>
      </c>
      <c r="C49" s="3" t="s">
        <v>280</v>
      </c>
      <c r="D49" s="3" t="s">
        <v>290</v>
      </c>
      <c r="E49" s="3" t="s">
        <v>282</v>
      </c>
      <c r="F49" s="3" t="s">
        <v>283</v>
      </c>
      <c r="G49" s="4"/>
      <c r="H49" s="4"/>
      <c r="I49" s="3" t="s">
        <v>284</v>
      </c>
      <c r="J49" s="3"/>
      <c r="K49" s="3"/>
    </row>
    <row r="50" customFormat="false" ht="109.5" hidden="false" customHeight="true" outlineLevel="0" collapsed="false">
      <c r="A50" s="3" t="s">
        <v>291</v>
      </c>
      <c r="B50" s="3" t="s">
        <v>12</v>
      </c>
      <c r="C50" s="3" t="s">
        <v>280</v>
      </c>
      <c r="D50" s="3" t="s">
        <v>292</v>
      </c>
      <c r="E50" s="3" t="s">
        <v>282</v>
      </c>
      <c r="F50" s="3" t="s">
        <v>283</v>
      </c>
      <c r="G50" s="4"/>
      <c r="H50" s="4"/>
      <c r="I50" s="3" t="s">
        <v>284</v>
      </c>
      <c r="J50" s="3"/>
      <c r="K50" s="3"/>
    </row>
    <row r="51" customFormat="false" ht="109.5" hidden="false" customHeight="true" outlineLevel="0" collapsed="false">
      <c r="A51" s="3" t="s">
        <v>293</v>
      </c>
      <c r="B51" s="3" t="s">
        <v>12</v>
      </c>
      <c r="C51" s="3" t="s">
        <v>280</v>
      </c>
      <c r="D51" s="3" t="s">
        <v>294</v>
      </c>
      <c r="E51" s="3" t="s">
        <v>282</v>
      </c>
      <c r="F51" s="3" t="s">
        <v>283</v>
      </c>
      <c r="G51" s="4"/>
      <c r="H51" s="4"/>
      <c r="I51" s="3" t="s">
        <v>284</v>
      </c>
      <c r="J51" s="3"/>
      <c r="K51" s="3"/>
    </row>
    <row r="52" customFormat="false" ht="109.5" hidden="false" customHeight="true" outlineLevel="0" collapsed="false">
      <c r="A52" s="5" t="s">
        <v>295</v>
      </c>
      <c r="B52" s="5" t="s">
        <v>296</v>
      </c>
      <c r="C52" s="5" t="s">
        <v>183</v>
      </c>
      <c r="D52" s="5" t="s">
        <v>297</v>
      </c>
      <c r="E52" s="5" t="s">
        <v>298</v>
      </c>
      <c r="F52" s="5" t="s">
        <v>299</v>
      </c>
      <c r="G52" s="4"/>
      <c r="H52" s="4"/>
      <c r="I52" s="5" t="s">
        <v>300</v>
      </c>
      <c r="J52" s="5" t="s">
        <v>301</v>
      </c>
      <c r="K52" s="5" t="s">
        <v>302</v>
      </c>
    </row>
    <row r="53" customFormat="false" ht="109.5" hidden="false" customHeight="true" outlineLevel="0" collapsed="false">
      <c r="A53" s="5" t="s">
        <v>303</v>
      </c>
      <c r="B53" s="5" t="s">
        <v>296</v>
      </c>
      <c r="C53" s="5" t="s">
        <v>183</v>
      </c>
      <c r="D53" s="5" t="s">
        <v>304</v>
      </c>
      <c r="E53" s="5" t="s">
        <v>305</v>
      </c>
      <c r="F53" s="5" t="s">
        <v>306</v>
      </c>
      <c r="G53" s="4"/>
      <c r="H53" s="4"/>
      <c r="I53" s="5" t="s">
        <v>307</v>
      </c>
      <c r="J53" s="5" t="s">
        <v>308</v>
      </c>
      <c r="K53" s="5" t="s">
        <v>309</v>
      </c>
    </row>
    <row r="54" customFormat="false" ht="109.5" hidden="false" customHeight="true" outlineLevel="0" collapsed="false">
      <c r="A54" s="5" t="s">
        <v>310</v>
      </c>
      <c r="B54" s="5" t="s">
        <v>296</v>
      </c>
      <c r="C54" s="5" t="s">
        <v>183</v>
      </c>
      <c r="D54" s="5" t="s">
        <v>311</v>
      </c>
      <c r="E54" s="5" t="s">
        <v>312</v>
      </c>
      <c r="F54" s="5" t="s">
        <v>313</v>
      </c>
      <c r="G54" s="4"/>
      <c r="H54" s="4"/>
      <c r="I54" s="5" t="s">
        <v>314</v>
      </c>
      <c r="J54" s="5" t="s">
        <v>315</v>
      </c>
      <c r="K54" s="5" t="s">
        <v>316</v>
      </c>
    </row>
    <row r="55" customFormat="false" ht="109.5" hidden="false" customHeight="true" outlineLevel="0" collapsed="false">
      <c r="A55" s="5" t="s">
        <v>317</v>
      </c>
      <c r="B55" s="5" t="s">
        <v>296</v>
      </c>
      <c r="C55" s="5" t="s">
        <v>183</v>
      </c>
      <c r="D55" s="5" t="s">
        <v>318</v>
      </c>
      <c r="E55" s="5" t="s">
        <v>319</v>
      </c>
      <c r="F55" s="5" t="s">
        <v>320</v>
      </c>
      <c r="G55" s="4"/>
      <c r="H55" s="4"/>
      <c r="I55" s="5" t="s">
        <v>321</v>
      </c>
      <c r="J55" s="5" t="s">
        <v>322</v>
      </c>
      <c r="K55" s="5" t="s">
        <v>323</v>
      </c>
    </row>
    <row r="56" customFormat="false" ht="109.5" hidden="false" customHeight="true" outlineLevel="0" collapsed="false">
      <c r="A56" s="5" t="s">
        <v>324</v>
      </c>
      <c r="B56" s="5" t="s">
        <v>296</v>
      </c>
      <c r="C56" s="5" t="s">
        <v>183</v>
      </c>
      <c r="D56" s="5" t="s">
        <v>325</v>
      </c>
      <c r="E56" s="5" t="s">
        <v>326</v>
      </c>
      <c r="F56" s="5" t="s">
        <v>327</v>
      </c>
      <c r="G56" s="4"/>
      <c r="H56" s="4"/>
      <c r="I56" s="5" t="s">
        <v>328</v>
      </c>
      <c r="J56" s="5" t="s">
        <v>308</v>
      </c>
      <c r="K56" s="5" t="s">
        <v>329</v>
      </c>
    </row>
    <row r="57" customFormat="false" ht="109.5" hidden="false" customHeight="true" outlineLevel="0" collapsed="false">
      <c r="A57" s="5" t="s">
        <v>330</v>
      </c>
      <c r="B57" s="5" t="s">
        <v>296</v>
      </c>
      <c r="C57" s="5" t="s">
        <v>183</v>
      </c>
      <c r="D57" s="5" t="s">
        <v>331</v>
      </c>
      <c r="E57" s="5" t="s">
        <v>332</v>
      </c>
      <c r="F57" s="5" t="s">
        <v>333</v>
      </c>
      <c r="G57" s="4"/>
      <c r="H57" s="4"/>
      <c r="I57" s="5" t="s">
        <v>334</v>
      </c>
      <c r="J57" s="5" t="s">
        <v>335</v>
      </c>
      <c r="K57" s="5" t="s">
        <v>336</v>
      </c>
    </row>
    <row r="58" customFormat="false" ht="109.5" hidden="false" customHeight="true" outlineLevel="0" collapsed="false">
      <c r="A58" s="5" t="s">
        <v>337</v>
      </c>
      <c r="B58" s="5" t="s">
        <v>296</v>
      </c>
      <c r="C58" s="5" t="s">
        <v>183</v>
      </c>
      <c r="D58" s="5" t="s">
        <v>338</v>
      </c>
      <c r="E58" s="5" t="s">
        <v>339</v>
      </c>
      <c r="F58" s="5" t="s">
        <v>340</v>
      </c>
      <c r="G58" s="4"/>
      <c r="H58" s="4"/>
      <c r="I58" s="5" t="s">
        <v>341</v>
      </c>
      <c r="J58" s="5" t="s">
        <v>335</v>
      </c>
      <c r="K58" s="5" t="s">
        <v>342</v>
      </c>
    </row>
    <row r="59" customFormat="false" ht="109.5" hidden="false" customHeight="true" outlineLevel="0" collapsed="false">
      <c r="A59" s="5" t="s">
        <v>343</v>
      </c>
      <c r="B59" s="5" t="s">
        <v>296</v>
      </c>
      <c r="C59" s="5" t="s">
        <v>344</v>
      </c>
      <c r="D59" s="5" t="s">
        <v>345</v>
      </c>
      <c r="E59" s="5" t="s">
        <v>346</v>
      </c>
      <c r="F59" s="5" t="s">
        <v>347</v>
      </c>
      <c r="G59" s="4"/>
      <c r="H59" s="4"/>
      <c r="I59" s="5" t="s">
        <v>348</v>
      </c>
      <c r="J59" s="5" t="s">
        <v>349</v>
      </c>
      <c r="K59" s="5" t="s">
        <v>350</v>
      </c>
    </row>
    <row r="60" customFormat="false" ht="109.5" hidden="false" customHeight="true" outlineLevel="0" collapsed="false">
      <c r="A60" s="5" t="s">
        <v>351</v>
      </c>
      <c r="B60" s="5" t="s">
        <v>296</v>
      </c>
      <c r="C60" s="5" t="s">
        <v>344</v>
      </c>
      <c r="D60" s="5" t="s">
        <v>352</v>
      </c>
      <c r="E60" s="5" t="s">
        <v>353</v>
      </c>
      <c r="F60" s="5" t="s">
        <v>354</v>
      </c>
      <c r="G60" s="4"/>
      <c r="H60" s="4"/>
      <c r="I60" s="5" t="s">
        <v>355</v>
      </c>
      <c r="J60" s="5" t="s">
        <v>356</v>
      </c>
      <c r="K60" s="5" t="s">
        <v>357</v>
      </c>
    </row>
    <row r="61" customFormat="false" ht="109.5" hidden="false" customHeight="true" outlineLevel="0" collapsed="false">
      <c r="A61" s="5" t="s">
        <v>358</v>
      </c>
      <c r="B61" s="5" t="s">
        <v>296</v>
      </c>
      <c r="C61" s="5" t="s">
        <v>344</v>
      </c>
      <c r="D61" s="5" t="s">
        <v>359</v>
      </c>
      <c r="E61" s="5" t="s">
        <v>360</v>
      </c>
      <c r="F61" s="5" t="s">
        <v>361</v>
      </c>
      <c r="G61" s="4"/>
      <c r="H61" s="4"/>
      <c r="I61" s="5" t="s">
        <v>362</v>
      </c>
      <c r="J61" s="5" t="s">
        <v>356</v>
      </c>
      <c r="K61" s="5" t="s">
        <v>363</v>
      </c>
    </row>
    <row r="62" customFormat="false" ht="109.5" hidden="false" customHeight="true" outlineLevel="0" collapsed="false">
      <c r="A62" s="5" t="s">
        <v>364</v>
      </c>
      <c r="B62" s="5" t="s">
        <v>296</v>
      </c>
      <c r="C62" s="5" t="s">
        <v>344</v>
      </c>
      <c r="D62" s="5" t="s">
        <v>365</v>
      </c>
      <c r="E62" s="5" t="s">
        <v>366</v>
      </c>
      <c r="F62" s="5" t="s">
        <v>367</v>
      </c>
      <c r="G62" s="4"/>
      <c r="H62" s="4"/>
      <c r="I62" s="5" t="s">
        <v>368</v>
      </c>
      <c r="J62" s="5" t="s">
        <v>369</v>
      </c>
      <c r="K62" s="5" t="s">
        <v>370</v>
      </c>
    </row>
    <row r="63" customFormat="false" ht="109.5" hidden="false" customHeight="true" outlineLevel="0" collapsed="false">
      <c r="A63" s="5" t="s">
        <v>371</v>
      </c>
      <c r="B63" s="5" t="s">
        <v>296</v>
      </c>
      <c r="C63" s="5" t="s">
        <v>344</v>
      </c>
      <c r="D63" s="5" t="s">
        <v>372</v>
      </c>
      <c r="E63" s="5" t="s">
        <v>373</v>
      </c>
      <c r="F63" s="5" t="s">
        <v>374</v>
      </c>
      <c r="G63" s="4"/>
      <c r="H63" s="4"/>
      <c r="I63" s="5" t="s">
        <v>375</v>
      </c>
      <c r="J63" s="5" t="s">
        <v>376</v>
      </c>
      <c r="K63" s="5" t="s">
        <v>377</v>
      </c>
    </row>
    <row r="64" customFormat="false" ht="109.5" hidden="false" customHeight="true" outlineLevel="0" collapsed="false">
      <c r="A64" s="5" t="s">
        <v>378</v>
      </c>
      <c r="B64" s="5" t="s">
        <v>296</v>
      </c>
      <c r="C64" s="5" t="s">
        <v>183</v>
      </c>
      <c r="D64" s="5" t="s">
        <v>379</v>
      </c>
      <c r="E64" s="5" t="s">
        <v>380</v>
      </c>
      <c r="F64" s="5" t="s">
        <v>381</v>
      </c>
      <c r="G64" s="4"/>
      <c r="H64" s="4"/>
      <c r="I64" s="5" t="s">
        <v>382</v>
      </c>
      <c r="J64" s="5" t="s">
        <v>335</v>
      </c>
      <c r="K64" s="5" t="s">
        <v>383</v>
      </c>
    </row>
  </sheetData>
  <autoFilter ref="A1:K64"/>
  <conditionalFormatting sqref="G2:G64">
    <cfRule type="expression" priority="2" aboveAverage="0" equalAverage="0" bottom="0" percent="0" rank="0" text="" dxfId="6">
      <formula>G2="fix"</formula>
    </cfRule>
    <cfRule type="expression" priority="3" aboveAverage="0" equalAverage="0" bottom="0" percent="0" rank="0" text="" dxfId="7">
      <formula>G2="drop"</formula>
    </cfRule>
  </conditionalFormatting>
  <dataValidations count="1">
    <dataValidation allowBlank="true" errorStyle="stop" operator="between" showDropDown="false" showErrorMessage="false" showInputMessage="false" sqref="G2:G64" type="list">
      <formula1>"OK,fix,drop"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s>
  <sheetData>
    <row r="1" customFormat="false" ht="17.35" hidden="false" customHeight="false" outlineLevel="0" collapsed="false">
      <c r="A1" s="6" t="s">
        <v>384</v>
      </c>
    </row>
    <row r="3" customFormat="false" ht="15" hidden="false" customHeight="false" outlineLevel="0" collapsed="false">
      <c r="A3" s="7" t="s">
        <v>385</v>
      </c>
      <c r="B3" s="8" t="n">
        <f aca="false">COUNTA('Golden set'!A2:A64)</f>
        <v>63</v>
      </c>
    </row>
    <row r="4" customFormat="false" ht="15" hidden="false" customHeight="false" outlineLevel="0" collapsed="false">
      <c r="A4" s="7" t="s">
        <v>386</v>
      </c>
      <c r="B4" s="8" t="n">
        <f aca="false">COUNTIF('Golden set'!G2:G64,"OK")</f>
        <v>0</v>
      </c>
    </row>
    <row r="5" customFormat="false" ht="15" hidden="false" customHeight="false" outlineLevel="0" collapsed="false">
      <c r="A5" s="7" t="s">
        <v>387</v>
      </c>
      <c r="B5" s="8" t="n">
        <f aca="false">COUNTIF('Golden set'!G2:G64,"fix")</f>
        <v>0</v>
      </c>
    </row>
    <row r="6" customFormat="false" ht="15" hidden="false" customHeight="false" outlineLevel="0" collapsed="false">
      <c r="A6" s="7" t="s">
        <v>388</v>
      </c>
      <c r="B6" s="8" t="n">
        <f aca="false">COUNTIF('Golden set'!G2:G64,"drop")</f>
        <v>0</v>
      </c>
    </row>
    <row r="7" customFormat="false" ht="15" hidden="false" customHeight="false" outlineLevel="0" collapsed="false">
      <c r="A7" s="7" t="s">
        <v>389</v>
      </c>
      <c r="B7" s="8" t="n">
        <f aca="false">B3-B4-B5-B6</f>
        <v>63</v>
      </c>
    </row>
    <row r="8" customFormat="false" ht="15" hidden="false" customHeight="false" outlineLevel="0" collapsed="false">
      <c r="A8" s="7" t="s">
        <v>390</v>
      </c>
      <c r="B8"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48" hidden="false" customHeight="true" outlineLevel="0" collapsed="false">
      <c r="A1" s="10" t="s">
        <v>391</v>
      </c>
    </row>
    <row r="2" customFormat="false" ht="48" hidden="false" customHeight="true" outlineLevel="0" collapsed="false">
      <c r="A2" s="10" t="s">
        <v>392</v>
      </c>
    </row>
    <row r="3" customFormat="false" ht="48" hidden="false" customHeight="true" outlineLevel="0" collapsed="false">
      <c r="A3" s="10" t="s">
        <v>393</v>
      </c>
    </row>
    <row r="4" customFormat="false" ht="48" hidden="false" customHeight="true" outlineLevel="0" collapsed="false">
      <c r="A4" s="10" t="s">
        <v>394</v>
      </c>
    </row>
    <row r="5" customFormat="false" ht="48" hidden="false" customHeight="true" outlineLevel="0" collapsed="false">
      <c r="A5" s="10" t="s">
        <v>395</v>
      </c>
    </row>
    <row r="6" customFormat="false" ht="48" hidden="false" customHeight="true" outlineLevel="0" collapsed="false">
      <c r="A6" s="10" t="s">
        <v>396</v>
      </c>
    </row>
    <row r="7" customFormat="false" ht="48" hidden="false" customHeight="true" outlineLevel="0" collapsed="false">
      <c r="A7" s="10" t="s">
        <v>397</v>
      </c>
    </row>
    <row r="8" customFormat="false" ht="48" hidden="false" customHeight="true" outlineLevel="0" collapsed="false">
      <c r="A8" s="10" t="s">
        <v>398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2026-10-14T16:56:58Z</dcterms:created>
  <dc:creator>openpyxl</dc:creator>
  <dc:description/>
  <dc:language>en-US</dc:language>
  <cp:lastModifiedBy/>
  <dcterms:modified xsi:type="dcterms:W3CDTF">2026-10-14T16:56:58Z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