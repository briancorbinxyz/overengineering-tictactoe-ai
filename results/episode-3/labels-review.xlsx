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briancorbin/Downloads/"/>
    </mc:Choice>
  </mc:AlternateContent>
  <xr:revisionPtr revIDLastSave="0" documentId="13_ncr:1_{0DA3D82A-DFC0-FF40-9E3F-A7C8F5C2CE0A}" xr6:coauthVersionLast="47" xr6:coauthVersionMax="47" xr10:uidLastSave="{00000000-0000-0000-0000-000000000000}"/>
  <bookViews>
    <workbookView xWindow="0" yWindow="680" windowWidth="34200" windowHeight="21460" tabRatio="500" xr2:uid="{00000000-000D-0000-FFFF-FFFF00000000}"/>
  </bookViews>
  <sheets>
    <sheet name="Review" sheetId="1" r:id="rId1"/>
    <sheet name="Summary" sheetId="2" r:id="rId2"/>
    <sheet name="Legend" sheetId="3" r:id="rId3"/>
  </sheets>
  <definedNames>
    <definedName name="_xlnm._FilterDatabase" localSheetId="0" hidden="1">Review!$A$1:$S$51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1" i="2" l="1"/>
  <c r="B20" i="2"/>
  <c r="B15" i="2"/>
  <c r="I12" i="2"/>
  <c r="I11" i="2"/>
  <c r="I10" i="2"/>
  <c r="I9" i="2"/>
  <c r="I8" i="2"/>
  <c r="I7" i="2"/>
  <c r="I6" i="2"/>
  <c r="I5" i="2"/>
  <c r="I13" i="2" s="1"/>
  <c r="B5" i="2"/>
  <c r="N51" i="1"/>
  <c r="M51" i="1"/>
  <c r="N50" i="1"/>
  <c r="M50" i="1"/>
  <c r="N49" i="1"/>
  <c r="B19" i="2" s="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E12" i="2" l="1"/>
  <c r="D7" i="2"/>
  <c r="C6" i="2"/>
  <c r="G5" i="2"/>
  <c r="F5" i="2"/>
  <c r="E5" i="2"/>
  <c r="D5" i="2"/>
  <c r="C5" i="2"/>
  <c r="D6" i="2"/>
  <c r="E6" i="2"/>
  <c r="G12" i="2"/>
  <c r="F11" i="2"/>
  <c r="C11" i="2"/>
  <c r="E10" i="2"/>
  <c r="B10" i="2"/>
  <c r="E9" i="2"/>
  <c r="B9" i="2"/>
  <c r="F8" i="2"/>
  <c r="C8" i="2"/>
  <c r="F7" i="2"/>
  <c r="C7" i="2"/>
  <c r="F6" i="2"/>
  <c r="D11" i="2"/>
  <c r="F10" i="2"/>
  <c r="C10" i="2"/>
  <c r="G9" i="2"/>
  <c r="C9" i="2"/>
  <c r="G8" i="2"/>
  <c r="D8" i="2"/>
  <c r="E7" i="2"/>
  <c r="B7" i="2"/>
  <c r="G6" i="2"/>
  <c r="F12" i="2"/>
  <c r="F9" i="2"/>
  <c r="C12" i="2"/>
  <c r="D12" i="2"/>
  <c r="B12" i="2"/>
  <c r="G11" i="2"/>
  <c r="E11" i="2"/>
  <c r="B11" i="2"/>
  <c r="G10" i="2"/>
  <c r="D10" i="2"/>
  <c r="D9" i="2"/>
  <c r="E8" i="2"/>
  <c r="B8" i="2"/>
  <c r="G7" i="2"/>
  <c r="B6" i="2"/>
  <c r="H12" i="2" l="1"/>
  <c r="J12" i="2" s="1"/>
  <c r="B13" i="2"/>
  <c r="H10" i="2"/>
  <c r="J10" i="2" s="1"/>
  <c r="H9" i="2"/>
  <c r="J9" i="2" s="1"/>
  <c r="H7" i="2"/>
  <c r="J7" i="2" s="1"/>
  <c r="E13" i="2"/>
  <c r="H11" i="2"/>
  <c r="J11" i="2" s="1"/>
  <c r="H6" i="2"/>
  <c r="J6" i="2" s="1"/>
  <c r="G13" i="2"/>
  <c r="D13" i="2"/>
  <c r="H8" i="2"/>
  <c r="J8" i="2" s="1"/>
  <c r="F13" i="2"/>
  <c r="C13" i="2"/>
  <c r="H5" i="2"/>
  <c r="B18" i="2"/>
  <c r="B16" i="2"/>
  <c r="B17" i="2" s="1"/>
  <c r="H13" i="2" l="1"/>
  <c r="J5" i="2"/>
  <c r="J13" i="2" s="1"/>
</calcChain>
</file>

<file path=xl/sharedStrings.xml><?xml version="1.0" encoding="utf-8"?>
<sst xmlns="http://schemas.openxmlformats.org/spreadsheetml/2006/main" count="689" uniqueCount="505">
  <si>
    <t>ID</t>
  </si>
  <si>
    <t>Stratum</t>
  </si>
  <si>
    <t>⚑</t>
  </si>
  <si>
    <t>Question</t>
  </si>
  <si>
    <t>Reference answer</t>
  </si>
  <si>
    <t>Alpha's answer</t>
  </si>
  <si>
    <t>Draft label</t>
  </si>
  <si>
    <t>Why the draft label</t>
  </si>
  <si>
    <t>Your label</t>
  </si>
  <si>
    <t>Draft stale as current</t>
  </si>
  <si>
    <t>Your stale as current</t>
  </si>
  <si>
    <t>Your note</t>
  </si>
  <si>
    <t>Final label</t>
  </si>
  <si>
    <t>Final stale as current</t>
  </si>
  <si>
    <t>Retrieval</t>
  </si>
  <si>
    <t>Quotations Alpha was given</t>
  </si>
  <si>
    <t>Evidence in the archive</t>
  </si>
  <si>
    <t>Expected element</t>
  </si>
  <si>
    <t>Top 4 retrieved (score)</t>
  </si>
  <si>
    <t>G-001</t>
  </si>
  <si>
    <t>single-fact</t>
  </si>
  <si>
    <t>How does the run budget estimate how many tokens a run has spent, given that the AI provider doesn't report usage?</t>
  </si>
  <si>
    <t>It estimates from output length: estimateTokens(text) = ceil(len/4) over the response text; exact usage is deferred and the estimate is an accepted risk.</t>
  </si>
  <si>
    <t>The run budget estimates token usage by dividing the text length by four and rounding up, as the AI provider does not report actual usage. When estimated spend reaches 80%, the Decider's effort degrades, indicating the run is nearing its token limit.</t>
  </si>
  <si>
    <t>correct</t>
  </si>
  <si>
    <t>ceil(len/4) because the provider reports no usage; matches the reference.</t>
  </si>
  <si>
    <t>hit at rank 1</t>
  </si>
  <si>
    <t>Q1 (specs/040-run-budget/design.html, chunk 2 of 3): estimateTokens(text) = ceil(len/4); phase() = halt ≥ 100%, degrade ≥ 80%, else normal (80% = the REQ-FORMAT-004 amber band).
Q2 (specs/040-run-budget/design.html, chunk 2 of 3): The AIProvider returns only text (claude.ts:71,131) — no usage to read.
Q3 (specs/040-run-budget/spec.html, chunk 2 of 3): A run under a ceiling degrades the Decider effort by one band once estimated spend crosses 80% — observable by the effort passed to the Decider dropping (fewer voters) after the threshold, with the run continuing.</t>
  </si>
  <si>
    <t>The AIProvider returns only text ( claude.ts:71,131 ) — no usage to read. Decision estimateTokens(text) = ceil(len/4) ;</t>
  </si>
  <si>
    <t>specs/040-run-budget/design.html#D-001</t>
  </si>
  <si>
    <t>0.745  specs/040-run-budget/design.html, chunk 2 of 3
0.737  specs/040-run-budget/spec.html, chunk 2 of 3
0.717  specs/040-run-budget/design.html, chunk 1 of 3
0.714  specs/040-run-budget/spec.html, chunk 1 of 3</t>
  </si>
  <si>
    <t>G-002</t>
  </si>
  <si>
    <t>How does spectastic add trailers to its automatic commits: does it assemble the commit-message footer itself?</t>
  </si>
  <si>
    <t>No. run.commit appends one git commit --trailer flag per trailer entry, so git owns RFC-correctness and dedup; this needs git &gt;= 2.32, with interpret-trailers as the fallback.</t>
  </si>
  <si>
    <t>Spectastic uses one --trailer "k: v" per line to generate a correct footer. The commit-message footer is appended via one --trailer flag per entry, without manual assembly.</t>
  </si>
  <si>
    <t>One --trailer flag per entry, no hand-built footer. Answered from design chunk 3, a strict retrieval miss.</t>
  </si>
  <si>
    <t>miss: right file, other chunks</t>
  </si>
  <si>
    <t>Q1 (specs/027-git-trailers/design.html, chunk 3 of 4): 32): one --trailer "k: v" per line yields a correct footer. run.ts:66 currently passes a single -m. Decision run.commit(subject, trailers) appends one --trailer flag per entry.
Q2 (specs/027-git-trailers/design.html, chunk 3 of 4): Decision run.commit(subject, trailers) appends one --trailer flag per entry. No manual footer assembly, no second process.</t>
  </si>
  <si>
    <t>Decision run.commit(subject, trailers) appends one --trailer flag per entry. No manual footer assembly, no second process. Consequences + Git owns RFC-correctness + dedup.</t>
  </si>
  <si>
    <t>specs/027-git-trailers/design.html#D-001</t>
  </si>
  <si>
    <t>0.741  specs/027-git-trailers/design.html, chunk 3 of 4
0.733  specs/027-git-trailers/tasks.html, chunk 2 of 3
0.725  specs/014-core-implement/spec.html, chunk 5 of 5
0.724  specs/031-init-tools/spec.html, chunk 4 of 4</t>
  </si>
  <si>
    <t>G-003</t>
  </si>
  <si>
    <t>What made the lines of a wrapped heading overlap when the heading contained inline code?</t>
  </si>
  <si>
    <t>The h1 line-height of 1.05 was too tight, and inline code's padding, border and 0.9em size made a ~73px box inside a 57px line box; the fix raised h1 line-height to 1.14 and flattened code inside headings.</t>
  </si>
  <si>
    <t>Not in the archive.</t>
  </si>
  <si>
    <t>abstained wrongly</t>
  </si>
  <si>
    <t>The right chunk was retrieved at rank 2, but both of Beta's claims paraphrased and were dropped, so Alpha got no quotations.</t>
  </si>
  <si>
    <t>hit at rank 2</t>
  </si>
  <si>
    <t>(none)</t>
  </si>
  <si>
    <t>root cause was the tight heading line-height:1.05 plus inline code's padding/border/0.9em box exceeding the line box (≈73px vs 57px); fixed in base CSS by loosening h1 line-height to 1.14</t>
  </si>
  <si>
    <t>specs/016-theme-support/triage-log.html#T-003</t>
  </si>
  <si>
    <t>0.700  specs/016-theme-support/triage-log.html, chunk 3 of 10
0.676  specs/016-theme-support/triage-log.html, chunk 2 of 10
0.672  specs/016-theme-support/triage-log.html, chunk 8 of 10
0.667  specs/020-vscode-extension/changes/archive/2026-07-10-link-interception/proposal.html, chunk 2 of 2</t>
  </si>
  <si>
    <t>G-004</t>
  </si>
  <si>
    <t>In the VS Code extension's canvas, why was the hover card cut off for nodes near the edge of the panel?</t>
  </si>
  <si>
    <t>The card was appended inside the canvas surface, which the scroll container clips with overflow:auto. The fix renders it on document.body with position:fixed, viewport clamping and flip-above.</t>
  </si>
  <si>
    <t>The hover card was cut off for nodes near the edge of the panel because the compact card was rendered with position: fixed, which can cause it to be clipped by the scroll container.</t>
  </si>
  <si>
    <t>wrong</t>
  </si>
  <si>
    <t>Right chunk at rank 2, but cause and fix are inverted: position:fixed was the fix, not the cause.</t>
  </si>
  <si>
    <t>Q1 (specs/020-vscode-extension/triage-log.html, chunk 1 of 11): Fixed The compact card renders on document.body with position: fixed in packages/vscode/src/webview/card.ts, escaping the scroll container’s clip.</t>
  </si>
  <si>
    <t>root cause was implementation drift — the card was appended inside the canvas surface, which the scroll container clips with overflow:auto ; fixed by rendering it on &lt;body&gt; with position:fixed , viewport clamping, and flip-above;</t>
  </si>
  <si>
    <t>specs/020-vscode-extension/triage-log.html#T-002</t>
  </si>
  <si>
    <t>0.737  specs/020-vscode-extension/design.html, chunk 1 of 6
0.736  specs/020-vscode-extension/triage-log.html, chunk 1 of 11
0.734  specs/020-vscode-extension/spec.html, chunk 2 of 5
0.724  specs/020-vscode-extension/changes/archive/2026-06-22-vertical-layout-default/proposal.html, chunk 1 of 3</t>
  </si>
  <si>
    <t>G-005</t>
  </si>
  <si>
    <t>Does init --tools wire spectastic enforce into the pre-commit hook it installs?</t>
  </si>
  <si>
    <t>Not automatically. That integration was deferred because 031's hook uses exec, so you wire it manually (spectastic enforce || exit 1), and FR-005 is only partially met.</t>
  </si>
  <si>
    <t>spectastic init --tools installs a git pre-commit gate that rejects a commit when spectastic validate finds an error. spectastic init --tools also installs the Claude Code command adapters.</t>
  </si>
  <si>
    <t>Describes the validate gate the hook installs; never says enforce is not wired in.</t>
  </si>
  <si>
    <t>miss: another spec</t>
  </si>
  <si>
    <t>Q1 (specs/031-init-tools/spec.html, chunk 1 of 4): spectastic init --tools is that mechanism: it installs a git pre-commit gate that rejects a commit when spectastic validate finds an error (or an open question in an Accepted spec), and it installs the Claude Code command adapters so they cannot drift from source.
Q2 (specs/031-init-tools/spec.html, chunk 4 of 4): After init --tools, editing a commands/*.md source is reflected in the installed Claude Code adapter with no manual copy step, and an installed adapter is never observed stale against its source.</t>
  </si>
  <si>
    <t>031's hook uses exec , so appending enforce needs an opt-in flag threaded through tested code. The enforce command is delivered and CI/hook-ready — wire it manually ( spectastic enforce || exit 1 );</t>
  </si>
  <si>
    <t>specs/042-profile-enforcement/tasks.html#T-901</t>
  </si>
  <si>
    <t>0.804  specs/031-init-tools/spec.html, chunk 4 of 4
0.770  specs/031-init-tools/spec.html, chunk 1 of 4
0.765  specs/031-init-tools/tasks.html, chunk 1 of 2
0.755  specs/031-init-tools/spec.html, chunk 2 of 4</t>
  </si>
  <si>
    <t>G-006</t>
  </si>
  <si>
    <t>Why did the npm publish of v0.1.0-pre.28 fail?</t>
  </si>
  <si>
    <t>It was a credential failure, not a code one: the npm step returned 404 Not Found on the PUT for @spectastic/render, which points to NPM_TOKEN expiring, rotating or losing scope. The fix moved publishing to OIDC trusted publishing.</t>
  </si>
  <si>
    <t>The v0.1.0-pre.28 publish failed with a 404 Not Found error, indicating a credential failure at the npm step. The timing of the failure suggests the NPM_TOKEN may have expired, rotated, or lost scope. npm is phasing out 2FA-bypass tokens for direct publishing, which may have impacted the token’s validity.</t>
  </si>
  <si>
    <t>404 on the npm PUT, a credential failure, token expired or rotated.</t>
  </si>
  <si>
    <t>Q1 (specs/004-npm-publish-workflow/changes/archive/2026-09-14-oidc-trusted-publishing/proposal.html, chunk 1 of 6): The v0.1.0-pre.28 publish failed twice at the npm step with 404 Not Found - PUT …/@spectastic%2frender — a credential failure, not a code one (every gate passed).
Q2 (specs/004-npm-publish-workflow/changes/archive/2026-09-14-oidc-trusted-publishing/proposal.html, chunk 1 of 6): The same-night pattern (pre.27 published at 00:14, pre.28 failed at 02:39) points at the NPM_TOKEN expiring, rotating, or losing scope.
Q3 (specs/004-npm-publish-workflow/changes/archive/2026-09-14-oidc-trusted-publishing/proposal.html, chunk 1 of 6): npm is deprecating 2FA-bypass granular tokens for direct publishing — Phase 2 (~Jan 2027) restricts them to staged publishes needing human approval — so a token-based flow is on a clock regardless.</t>
  </si>
  <si>
    <t>The v0.1.0-pre.28 publish failed twice at the npm step with 404 Not Found - PUT …/@spectastic%2frender — a credential failure, not a code one (every gate passed).</t>
  </si>
  <si>
    <t>specs/004-npm-publish-workflow/changes/archive/2026-09-14-oidc-trusted-publishing/proposal.html#intent</t>
  </si>
  <si>
    <t>0.725  specs/004-npm-publish-workflow/changes/archive/2026-09-14-oidc-trusted-publishing/proposal.html, chunk 1 of 6
0.721  specs/004-npm-publish-workflow/triage-log.html, chunk 1 of 2
0.720  specs/004-npm-publish-workflow/changes/archive/2026-07-23-prerelease-latest-dist-tag/proposal.html, chunk 1 of 5
0.718  specs/004-npm-publish-workflow/design.html, chunk 1 of 5</t>
  </si>
  <si>
    <t>G-007</t>
  </si>
  <si>
    <t>Does the published web address for spectastic's config JSON schema actually resolve yet?</t>
  </si>
  <si>
    <t>No. Fetching it at the pinned version returns 404 because the currently published version predates the schema file, so the check is to be repeated at the next release.</t>
  </si>
  <si>
    <t>087 tasks.html chunk 2 was retrieved; Beta's only claim paraphrased and was dropped.</t>
  </si>
  <si>
    <t>Deliberately unticked: it returns 404 today, because the currently-published version predates the schema file. Repeat at the next release</t>
  </si>
  <si>
    <t>specs/087-config-published-schema/tasks.html#T-301</t>
  </si>
  <si>
    <t>0.711  specs/063-corpus-discoverability/spec.html, chunk 4 of 4
0.710  specs/087-config-published-schema/tasks.html, chunk 2 of 2
0.704  specs/057-portable-domain-skill/design.html, chunk 3 of 6
0.701  specs/119-decision-resource-scope/design.html, chunk 2 of 5</t>
  </si>
  <si>
    <t>G-008</t>
  </si>
  <si>
    <t>When the kernel was extracted, what benchmark baseline was full-project validation expected to stay within 20% of?</t>
  </si>
  <si>
    <t>The validate-full-project p50 should stay within ±20% of 175 ms on an M1 dev machine and 295 ms on ubuntu-latest CI.</t>
  </si>
  <si>
    <t>The full-project validation was expected to stay within 20% of a 175 ms baseline.</t>
  </si>
  <si>
    <t>partly</t>
  </si>
  <si>
    <t>Gives the 175 ms M1 baseline; misses the 295 ms CI figure.</t>
  </si>
  <si>
    <t>Q1 (specs/006-kernel-extraction/spec.html, chunk 6 of 6): bench all 4 scenarios within budget (validate-full-project p50 184 ms vs 175 ms baseline = +5%, well inside NFR-002's ±20% target)</t>
  </si>
  <si>
    <t>The validate-full-project bench scenario's p50 SHOULD stay within ±20% of today's baseline (175 ms on M1 dev; 295 ms on ubuntu-latest CI).</t>
  </si>
  <si>
    <t>specs/006-kernel-extraction/spec.html#NFR-002</t>
  </si>
  <si>
    <t>0.788  specs/006-kernel-extraction/spec.html, chunk 6 of 6
0.738  specs/006-kernel-extraction/design.html, chunk 1 of 5
0.735  specs/006-kernel-extraction/spec.html, chunk 2 of 6
0.721  specs/006-kernel-extraction/spec.html, chunk 1 of 6</t>
  </si>
  <si>
    <t>G-009</t>
  </si>
  <si>
    <t>In the change-risk verification run, what result did a diff with a staged binary plus a CI workflow edit produce?</t>
  </si>
  <si>
    <t>Two findings, a 55/100 amber score and the disclaimer, with exit code 0.</t>
  </si>
  <si>
    <t>A diff with a staged binary plus a CI workflow edit produced two findings, a score, a band, and the 'surfaces risk, not detection' disclaimer.</t>
  </si>
  <si>
    <t>Two findings and the disclaimer; misses the 55/100 amber score and exit code 0. Quoted tasks.html, not the verify run.</t>
  </si>
  <si>
    <t>Q1 (specs/049-change-risk-score/tasks.html, chunk 2 of 3): packages/core/test/change-risk.score.test.ts Test the CLI end-to-end on a fixture repo — a binary+CI-edit diff prints two findings, a score, a band, and the "surfaces risk, not detection" disclaimer (FR-001, SC-001);</t>
  </si>
  <si>
    <t>(1) a staged binary + CI-workflow edit prints two findings, a 55/100 amber score, and the disclaimer, exit 0;</t>
  </si>
  <si>
    <t>specs/049-change-risk-score/verify.html#run</t>
  </si>
  <si>
    <t>0.727  specs/049-change-risk-score/verify.html, chunk 1 of 1
0.723  specs/049-change-risk-score/tasks.html, chunk 2 of 3
0.706  specs/049-change-risk-score/spec.html, chunk 1 of 3
0.688  specs/049-change-risk-score/design.html, chunk 1 of 5</t>
  </si>
  <si>
    <t>G-010</t>
  </si>
  <si>
    <t>Why does triage fan-out use a hand-rolled concurrency pool instead of the p-map library?</t>
  </si>
  <si>
    <t>p-map is only a dev/CI transitive dependency, and promoting it would add a real runtime dependency to the published package. The owner kept @spectastic/core dependency-minimal, so a ~30-line mapPool copies p-map's input-order and concurrency-cap semantics.</t>
  </si>
  <si>
    <t>The serial list loop is the bottleneck to replace packages/core/src/commands/triage.ts:67 verified for (const item of items) { await characterise(…) } — one blocking call per item. The hedge gate is inline mid-loop — must move to a post-pass triage.ts:100-103, 117-159 verified escalateLayer calls ai.ask inside characterise; can't interleave under concurrency (FR-005). IDs are assigned interleaved in loop order — must become one post-pass triage.</t>
  </si>
  <si>
    <t>Talks about the serial loop bottleneck; never says why p-map was not used.</t>
  </si>
  <si>
    <t>Q1 (specs/032-triage-fanout/design.html, chunk 1 of 5): The serial list loop is the bottleneck to replace packages/core/src/commands/triage.ts:67 verified for (const item of items) { await characterise(…) } — one blocking call per item.
Q2 (specs/032-triage-fanout/design.html, chunk 1 of 5): The hedge gate is inline mid-loop — must move to a post-pass triage.ts:100-103, 117-159 verified escalateLayer calls ai.ask inside characterise; can't interleave under concurrency (FR-005).
Q3 (specs/032-triage-fanout/design.html, chunk 1 of 5): IDs are assigned interleaved in loop order — must become one post-pass triage.</t>
  </si>
  <si>
    <t>p-map@7.0.4 is the obvious library but is only a dev/CI transitive via @secretlint/node ( pnpm-lock.yaml:2597 ) — promoting it adds a real runtime dep to the published package.</t>
  </si>
  <si>
    <t>specs/032-triage-fanout/design.html#D-002</t>
  </si>
  <si>
    <t>0.752  specs/032-triage-fanout/design.html, chunk 1 of 5
0.750  specs/032-triage-fanout/changes/archive/2026-07-10-interactive-fanout/proposal.html, chunk 1 of 2
0.736  specs/032-triage-fanout/spec.html, chunk 1 of 4
0.727  specs/032-triage-fanout/triage-log.html, chunk 1 of 2</t>
  </si>
  <si>
    <t>G-011</t>
  </si>
  <si>
    <t>paraphrase</t>
  </si>
  <si>
    <t>Why does a design page bake in a duplicate of the API definition's text instead of pulling that file in live while someone is viewing it?</t>
  </si>
  <si>
    <t>The artifact's Content-Security-Policy (default-src 'none', no connect-src) blocks a runtime fetch, and an iframe would be flagged by the no-executable-content rule, so the contract text is copied in at generate time and drift is guarded separately.</t>
  </si>
  <si>
    <t>The design page bakes in a duplicate of the API definition's text because the materialiser reads the file, escapes it, and emits it as part of the declaration. This approach was chosen to avoid runtime fetches, which are blocked by the default-src policy and the no-executable-content rule. The outbound pipeline ensures that the content is fully processed and written to a dated path before the browser opens the file, making byte-identity a property of the code.</t>
  </si>
  <si>
    <t>CSP default-src blocks a runtime fetch and the no-executable-content rule rules out the alternative. Strict retrieval miss.</t>
  </si>
  <si>
    <t>Q1 (specs/072-contract-embedded-view/design.html, chunk 3 of 6): 5 · Approach At design-generation time, for each declaration carrying a readable path=, the materialiser reads the file, escapes it with the existing esc(), truncates it to a line budget if needed, and emits a &lt;spec-contract-view&gt; nested inside the declaration.
Q2 (specs/072-contract-embedded-view/design.html, chunk 3 of 6): 7 · Decisions D-001 · Materialise at generate time; never transclude Status Accepted Context templates/design.html:6 sets default-src 'none' with no connect-src, so a runtime fetch is blocked by policy; &lt;iframe&gt; is separately flagged by the no-executable-content rule. The content must therefore be present in the file before the browser opens it.
Q3 (specs/107-visual-design-brief/design.html, chunk 3 of 7): 6 · Approach Two capabilities that share one fact and nothing else. Outbound is a three-step pipeline with I/O only at the ends: a reader walks the feature’s declared screens and returns a complete model (every state, every refusal, every annotation, the addressed contexts), a renderer turns that model into Markdown, and a write puts it at a dated path. Nothing in the middle touches a filesystem, a clock or a network, which is what makes NFR-002’s byte-identity a property of the code rather than a hope.</t>
  </si>
  <si>
    <t>templates/design.html:6 sets default-src 'none' with no connect-src , so a runtime fetch is blocked by policy; &lt;iframe&gt; is separately flagged by the no-executable-content rule.</t>
  </si>
  <si>
    <t>specs/072-contract-embedded-view/design.html#D-001</t>
  </si>
  <si>
    <t>0.678  specs/072-contract-embedded-view/design.html, chunk 3 of 6
0.678  specs/000-spectastic/triage-log.html, chunk 21 of 39
0.672  specs/107-visual-design-brief/design.html, chunk 3 of 7
0.665  specs/012-core-plan/spec.html, chunk 4 of 5</t>
  </si>
  <si>
    <t>G-012</t>
  </si>
  <si>
    <t>If someone tweaks a file that came in from a design tool and later brings in a fresh version from that tool, are their tweaks kept?</t>
  </si>
  <si>
    <t>Yes, manual changes survive a re-import, except on fields whose source of truth is the export; those fields are re-derived on every import.</t>
  </si>
  <si>
    <t>An installed adapter must be structurally impossible to drift from its source. The installed hook is intended to be portable across macOS and Linux shells.</t>
  </si>
  <si>
    <t>Answers about installed adapters drifting, from 031; nothing about re-imports.</t>
  </si>
  <si>
    <t>Q1 (specs/031-init-tools/spec.html, chunk 3 of 4): md source such that an installed adapter cannot drift from its source — a stale installed copy MUST be structurally impossible (generated or linked on demand, not a one-time copy).
Q2 (specs/031-init-tools/spec.html, chunk 3 of 4): The installed hook SHOULD be portable across the macOS and Linux shells spectastic targets; Windows support is deferred.</t>
  </si>
  <si>
    <t>A hand edit to landed material MUST survive a re-import, except where the field has a source of truth in the export.</t>
  </si>
  <si>
    <t>specs/105-design-source-import/spec.html#FR-009
specs/105-design-source-import/design.html#D-002</t>
  </si>
  <si>
    <t>0.713  specs/031-init-tools/spec.html, chunk 3 of 4
0.708  specs/105-design-source-import/triage-log.html, chunk 2 of 18
0.707  specs/105-design-source-import/spec.html, chunk 9 of 11
0.706  specs/105-design-source-import/changes/archive/2026-08-18-what-the-design-tool-is/proposal.html, chunk 1 of 5</t>
  </si>
  <si>
    <t>G-013</t>
  </si>
  <si>
    <t>How does the prose theme make sure its fade-in-on-scroll effect can never leave text invisible if the page's code fails to load or errors out?</t>
  </si>
  <si>
    <t>The stylesheet never hides anything. The script marks the document as reveal-capable when it runs, and only then does the hidden state exist, so a failure degrades to plain visible content.</t>
  </si>
  <si>
    <t>The prose theme ensures fully readable artifacts even with JavaScript disabled, preventing text from being invisible due to code failures. The reveal mechanism is designed as a progressive enhancement, requiring no markup changes and ensuring blocks are revealed exactly once, regardless of script errors.</t>
  </si>
  <si>
    <t>Progressive enhancement and readable with JavaScript off, but not the mechanism (the script marks the document reveal-capable).</t>
  </si>
  <si>
    <t>Q1 (specs/109-prose-theme/spec.html, chunk 3 of 5): With JavaScript disabled, an artifact MUST render fully readable, and with reduced motion requested the reveal MUST be suppressed entirely, leaving at most 0 blocks hidden from the reader in either case.
Q2 (specs/109-prose-theme/spec.html, chunk 3 of 5): The reveal and the header's scroll-up trigger MUST be implemented as a progressive enhancement in the shared switcher script, latching each block to revealed exactly once; they MUST take effect only while Prose is the active theme, and MUST require at most 0 markup changes to any document.</t>
  </si>
  <si>
    <t>The stylesheet never hides a block. The script marks the document as reveal-capable when it runs, and only then does the unrevealed state exist.</t>
  </si>
  <si>
    <t>specs/109-prose-theme/design.html#D-003</t>
  </si>
  <si>
    <t>0.769  specs/109-prose-theme/spec.html, chunk 3 of 5
0.746  specs/109-prose-theme/design.html, chunk 1 of 7
0.744  specs/016-theme-support/changes/archive/2026-08-19-amend-theme-contract-for-prose/proposal.html, chunk 1 of 5
0.744  specs/109-prose-theme/spec.html, chunk 2 of 5</t>
  </si>
  <si>
    <t>G-014</t>
  </si>
  <si>
    <t>Once a project's knowledge base outgrows simple lookup, which search upgrades should be layered on, in what sequence, and how much does each one help?</t>
  </si>
  <si>
    <t>Contextual embeddings, then contextual BM25, then reranking, in that order. They cut retrieval failures by roughly a third, a half and two-thirds respectively.</t>
  </si>
  <si>
    <t>When a project's knowledge base outgrows simple lookup, re-ordering requirements is the first step to manage task renumbering and amendments. Light AI integration follows re-ordering, providing structured one-liner outputs for imperative tasks while delegating structural work to prior phases. Traceability mechanisms, such as spec-notes and warnings, are layered last to ensure all requirements are referenced and uncovered gaps are flagged.</t>
  </si>
  <si>
    <t>Answers about re-ordering requirements, from 009; the ladder in 059 FR-002 was never retrieved.</t>
  </si>
  <si>
    <t>Q1 (specs/009-core-tasks/design.html, chunk 3 of 4): − Re-ordering requirements renumbers tasks (the future implement verb's checked-state merge handles amendments, deferred). − ≥4 stories overflow into T-4NN+ with a warning.
Q2 (specs/009-core-tasks/design.html, chunk 3 of 4): D-004 · Light AI — one ctx.ai.chat() per non-empty phase Status Accepted Context D-002 / D-003 do the structural work; AI only writes the imperative one-liner + optional target path.
Q3 (specs/009-core-tasks/design.html, chunk 3 of 4): D-005 · Traceability — &lt;spec-note&gt; per US phase + &lt;spec-warning&gt; for uncovered Status Accepted Context FR-008 requires every FR/NFR/SC to be referenced by ≥1 task; uncovered → warning.</t>
  </si>
  <si>
    <t>retrieval SHOULD follow the known ladder — contextual embeddings, then contextual BM25, then reranking — in that order. Rationale The ladder is characterised: the three stages cut retrieval failures by roughly a third, a half, and two-thirds respectively.</t>
  </si>
  <si>
    <t>specs/059-corpus-retrieval-scale/spec.html#FR-002</t>
  </si>
  <si>
    <t>0.694  specs/009-core-tasks/design.html, chunk 3 of 4
0.688  specs/047-slo-nfr-artifact/tasks.html, chunk 4 of 4
0.684  specs/024-explore-restore/tasks.html, chunk 1 of 2
0.683  specs/089-lifecycle-contract/spec.html, chunk 7 of 7</t>
  </si>
  <si>
    <t>G-015</t>
  </si>
  <si>
    <t>Will validation stop me from checking in a reference book whose terms forbid sharing it?</t>
  </si>
  <si>
    <t>No. A redistribution-restricted document raises a corpus-license finding at warning severity, not an error, because committing it is the project's call; the rule only makes the fact visible.</t>
  </si>
  <si>
    <t>Validation will not stop you from checking in a reference book whose terms forbid sharing it. The redistribution policy specifies that material that cannot be redistributed may be held by reference, with a sanctioned escape hatch for such cases.</t>
  </si>
  <si>
    <t>Validation will not stop the commit; misses that it is a warning-severity finding.</t>
  </si>
  <si>
    <t>miss: right spec, other pages</t>
  </si>
  <si>
    <t>Q1 (specs/058-corpus-licensing/design.html, chunk 3 of 6): The rule reads only the declared string; it never infers a license from content and never asserts legal compatibility (NFR-001, the recorded ceiling).
Q2 (specs/058-corpus-licensing/design.html, chunk 3 of 6): A declared license is silent only if it's on the permissive allowlist; restrictive, unrecognised, and placeholder licenses all warn.
Q3 (specs/058-corpus-licensing/design.html, chunk 3 of 6): The redistribution policy (FR-003/FR-004) is a README section: what may be committed in-repo, what must be held by reference, and the sanctioned by-reference escape hatch (an MCP bridge, or keeping only the origin-url) for material that cannot be redistributed — with the deliberately-restrictive KB-002 described as the worked example.</t>
  </si>
  <si>
    <t>A warning, not an error: whether to commit restricted material is a project's call to make with the fact in front of it. The rule's job is to make the fact unavoidable, not to block the decision.</t>
  </si>
  <si>
    <t>specs/058-corpus-licensing/spec.html#FR-002</t>
  </si>
  <si>
    <t>0.699  specs/002-validate-cli/spec.html, chunk 3 of 5
0.696  specs/052-corpus-citation-contract/design.html, chunk 2 of 6
0.694  specs/058-corpus-licensing/design.html, chunk 3 of 6
0.690  specs/108-success-criteria/spec.html, chunk 5 of 6</t>
  </si>
  <si>
    <t>G-016</t>
  </si>
  <si>
    <t>Is it acceptable for a success criterion to require that something never happens, or always happens, without giving any reasoning?</t>
  </si>
  <si>
    <t>No. A criterion asserting a threshold of 0 or 100% (or two equal thresholds) must carry a stated justification, because a bare absolute is often an unfalsifiable reflex.</t>
  </si>
  <si>
    <t>A success criterion must define two thresholds: a failure level and an aspiration level. The structure of a criterion is critical; it cannot be implied or assumed, as no check reads or owns its shape.</t>
  </si>
  <si>
    <t>Talks about failure and aspiration thresholds; misses the justification rule for 0 or 100%.</t>
  </si>
  <si>
    <t>Q1 (specs/108-success-criteria/spec.html, chunk 2 of 6): A criterion MUST state two thresholds: the level below which the feature has failed, and the level it is aiming at.
Q2 (specs/108-success-criteria/spec.html, chunk 1 of 6): The cause is structural rather than careless: no requirement anywhere owns the shape of a criterion and no check reads one — the whole contract is two sentences of command markdown, which is the one place this project already says a guarantee may not live.</t>
  </si>
  <si>
    <t>A criterion asserting a threshold of 0 or 100%, or two equal thresholds, MUST carry a stated justification.</t>
  </si>
  <si>
    <t>specs/108-success-criteria/spec.html#FR-011</t>
  </si>
  <si>
    <t>0.765  specs/108-success-criteria/spec.html, chunk 1 of 6
0.710  specs/108-success-criteria/spec.html, chunk 2 of 6
0.704  specs/108-success-criteria/tasks.html, chunk 1 of 4
0.689  specs/090-command-surface/changes/archive/2026-08-20-triage-dispatch-and-ids/proposal.html, chunk 4 of 6</t>
  </si>
  <si>
    <t>G-017</t>
  </si>
  <si>
    <t>If the one-step visual flow is given a path to a design handoff that it can't open, how far does it get before giving up?</t>
  </si>
  <si>
    <t>It refuses straight away, before any model call or any file write, and names the path it could not read.</t>
  </si>
  <si>
    <t>The one-step visual flow is designed to exit immediately upon encountering an unopenable path, as all visual actions currently end in process.exit(). If the path to a design handoff is unreadable, the one-step visual flow will not attempt to call any model or write any files, effectively giving up without further action.</t>
  </si>
  <si>
    <t>Refuses before any model call or file write. Strict retrieval miss.</t>
  </si>
  <si>
    <t>Q1 (specs/110-visual-one-step/design.html, chunk 1 of 7): The biggest risk is not the wiring: it is that all four visual actions currently end in process.exit(), so each has to be split into a callable kernel and a thin exiting wrapper before anything can call them.
Q2 (specs/110-visual-one-step/spec.html, chunk 4 of 6): Authors who mistype an export path lose nothing — model calls made = 0 and files written = 0 on a run naming an unreadable export, from a design generation’s full cost today.</t>
  </si>
  <si>
    <t>Before making any model call and before writing any file, the invocation MUST refuse when the named export cannot be read, and MUST state which path it could not read.</t>
  </si>
  <si>
    <t>specs/110-visual-one-step/spec.html#FR-003</t>
  </si>
  <si>
    <t>0.727  specs/110-visual-one-step/design.html, chunk 1 of 7
0.726  specs/110-visual-one-step/spec.html, chunk 1 of 6
0.724  specs/110-visual-one-step/spec.html, chunk 4 of 6
0.721  specs/110-visual-one-step/tasks.html, chunk 1 of 5</t>
  </si>
  <si>
    <t>G-018</t>
  </si>
  <si>
    <t>What performance problem pushed the project to break its flagship specification document into several smaller ones?</t>
  </si>
  <si>
    <t>At 118 KB the meta-spec took about 140 ms to validate on CI (about 28 ms locally) against a 100 ms per-file budget, so the project failed its own performance requirement.</t>
  </si>
  <si>
    <t>The meta-spec breached its own NFR-001 validation budget on continuous integration hardware. The size gauge showed a consistent red status, indicating it exceeded the 5,000-word budget. The lifecycle provided a mechanism for splitting the document, which was followed.</t>
  </si>
  <si>
    <t>The meta-spec breached its own validation budget on CI; no figures.</t>
  </si>
  <si>
    <t>Q1 (specs/000-spectastic/changes/archive/2026-08-11-extract-five-slices/proposal.html, chunk 1 of 5): The meta-spec is 118 KB and breaches its own NFR-001 validation budget on continuous integration hardware, and its size gauge has been red for some time.
Q2 (specs/000-spectastic/changes/archive/2026-08-11-extract-five-slices/proposal.html, chunk 1 of 5): Its size gauge tells the same story in the header of every render: 9,638 words against a 5,000 budget, 39 requirements against 20, banded red with the tool's own advice to split.
Q3 (specs/000-spectastic/changes/archive/2026-08-11-extract-five-slices/proposal.html, chunk 1 of 5): The advice is right, and this is the mechanism the lifecycle already provides for taking it.</t>
  </si>
  <si>
    <t>At 118 KB the meta-spec takes about 28 ms to validate on a developer machine and roughly 140 ms on a continuous-integration runner, against a budget of 100 ms per file</t>
  </si>
  <si>
    <t>specs/000-spectastic/changes/archive/2026-08-11-extract-five-slices/proposal.html#intent</t>
  </si>
  <si>
    <t>0.705  specs/000-spectastic/changes/archive/2026-08-11-extract-five-slices/proposal.html, chunk 1 of 5
0.676  specs/110-visual-one-step/design.html, chunk 7 of 7
0.672  specs/000-spectastic/triage-log.html, chunk 2 of 39
0.672  specs/011-core-spec/design.html, chunk 4 of 5</t>
  </si>
  <si>
    <t>G-019</t>
  </si>
  <si>
    <t>Why did the auto-generated verification pages scroll sideways on a narrow phone screen, and how was it fixed?</t>
  </si>
  <si>
    <t>renderVerifyHtml emitted the trace and observables tables with no scroll container. Both tables are now wrapped in an overflow-x:auto container where they are emitted.</t>
  </si>
  <si>
    <t>The auto-generated verification pages scrolled sideways on a narrow phone screen because the tables were not wrapped in an overflow container. The issue was fixed by modifying the renderVerifyHtml function to enclose both tables within an overflow-x:auto container.</t>
  </si>
  <si>
    <t>Tables had no overflow container; renderVerifyHtml now wraps both in overflow-x:auto. Strict retrieval miss.</t>
  </si>
  <si>
    <t>Q1 (specs/021-verify-view/triage-log.html, chunk 4 of 5): scrolls its tables inside their own container at a narrow viewport, as the hand-authored artifacts do. Actual 2 bare &lt;table&gt; elements and 0 wrappers in every one of the 70 generated views.
Q2 (specs/021-verify-view/triage-log.html, chunk 4 of 5): Fix Done. packages/core/src/commands/verify.ts — both tables now emit inside an overflow-x:auto container in renderVerifyHtml.</t>
  </si>
  <si>
    <t>root cause was renderVerifyHtml emitting the trace and observables tables with no scroll container; fixed by wrapping them at the point of emission;</t>
  </si>
  <si>
    <t>specs/021-verify-view/triage-log.html#T-004</t>
  </si>
  <si>
    <t>0.672  specs/021-verify-view/triage-log.html, chunk 4 of 5
0.640  specs/094-visual-sidecar-convention/spec.html, chunk 4 of 4
0.638  specs/021-verify-view/triage-log.html, chunk 5 of 5
0.636  specs/048-verify-slo-trace/tasks.html, chunk 3 of 3</t>
  </si>
  <si>
    <t>G-020</t>
  </si>
  <si>
    <t>In a generated course, learners had nowhere to type their own explanation of an idea. What was wrong, and what changed?</t>
  </si>
  <si>
    <t>The implementation rendered the teach-back prompt as static prose with no input. It now renders a textarea under the prompt, labelled as not saved, because course content isn't persisted.</t>
  </si>
  <si>
    <t>The issue was that the course lacked a &lt;textarea&gt; element for learners to input their own explanations. The change involved modifying the 'course.ts' file to include a &lt;textarea&gt; under the teach-back prompt.</t>
  </si>
  <si>
    <t>Static prompt with no input; a textarea added under the teach-back prompt.</t>
  </si>
  <si>
    <t>hit at rank 3</t>
  </si>
  <si>
    <t>Q1 (specs/019-explain-course/triage-log.html, chunk 1 of 5): Fix packages/core/src/commands/course.ts — render a &lt;textarea&gt; under the teach-back prompt.</t>
  </si>
  <si>
    <t>root cause was the implementation rendering the prompt as static prose with no input; fixed by adding a non-persisted &lt;textarea&gt; ;</t>
  </si>
  <si>
    <t>specs/019-explain-course/triage-log.html#T-002</t>
  </si>
  <si>
    <t>0.740  specs/019-explain-course/spec.html, chunk 3 of 4
0.718  specs/019-explain-course/changes/archive/2026-08-12-answer-position/proposal.html, chunk 1 of 2
0.717  specs/019-explain-course/triage-log.html, chunk 1 of 5
0.715  specs/012-core-plan/changes/archive/2026-08-23-preserve-what-the-generator-does-not-emit/proposal.html, chunk 2 of 5</t>
  </si>
  <si>
    <t>G-021</t>
  </si>
  <si>
    <t>identifier</t>
  </si>
  <si>
    <t>What does FR-001 of spec 040, the run budget, require of the BudgetTracker?</t>
  </si>
  <si>
    <t>It must accumulate the run's estimated output-token spend and expose a phase: normal below 80% of the ceiling, degrade at &gt;=80%, halt at &gt;=100% (always normal when there is no ceiling).</t>
  </si>
  <si>
    <t>FR-001 of spec 040, the run budget, requires the BudgetTracker to accumulate the run's estimated output-token spend and expose its phase: normal below 80% of the ceiling, degrade at ≥ 80%, halt at ≥ 100%. With no ceiling it is always normal. When the tracker is in degrade, the run MUST lower the effort it passes to the Decider by one band (via the 034 effort order), clamped at the floor — so decisions convene fewer voters.</t>
  </si>
  <si>
    <t>Accumulate estimated spend; normal, degrade at 80%, halt at 100%.</t>
  </si>
  <si>
    <t>hit at rank 4</t>
  </si>
  <si>
    <t>Q1 (specs/040-run-budget/spec.html, chunk 2 of 3): Functional A BudgetTracker MUST accumulate the run's estimated output-token spend and expose its phase: normal below 80% of the ceiling, degrade at ≥ 80%, halt at ≥ 100%. With no ceiling it is always normal.
Q2 (specs/040-run-budget/spec.html, chunk 2 of 3): When the tracker is in degrade, the run MUST lower the effort it passes to the Decider by one band (via the 034 effort order), clamped at the floor — so decisions convene fewer voters.</t>
  </si>
  <si>
    <t>A BudgetTracker MUST accumulate the run's estimated output-token spend and expose its phase : normal below 80% of the ceiling, degrade at ≥ 80%, halt at ≥ 100%.</t>
  </si>
  <si>
    <t>specs/040-run-budget/spec.html#FR-001</t>
  </si>
  <si>
    <t>0.702  specs/040-run-budget/verify.html, chunk 1 of 1
0.691  specs/040-run-budget/design.html, chunk 1 of 3
0.678  specs/040-run-budget/tasks.html, chunk 1 of 1
0.651  specs/040-run-budget/spec.html, chunk 2 of 3</t>
  </si>
  <si>
    <t>G-022</t>
  </si>
  <si>
    <t>What does NFR-001 in spec 045, artifact security, require?</t>
  </si>
  <si>
    <t>FR-001 and FR-002 must be deterministic and must not break the rendering or interactivity of any existing spec-family artifact type, verified by opening representative artifacts in a browser.</t>
  </si>
  <si>
    <t>NFR-001 in spec 045, artifact security, requires verification. An unquantified NFR fails at the tiers that promise reliability.</t>
  </si>
  <si>
    <t>Says NFR-001 requires verification; the requirement is determinism and not breaking existing artifacts.</t>
  </si>
  <si>
    <t>Q1 (specs/045-artifact-security/verify.html, chunk 1 of 1): NFR-001 n/a NFR-002 n/a Verify · 045-artifact-security · derived view · light/dark
Q2 (specs/047-slo-nfr-artifact/spec.html, chunk 1 of 4): Specification · 047-slo-nfr-artifact SLO-from-NFR artifact model A quantified NFR is an SLO in prose. This gives that SLO a first-class shape linked to its NFR — and makes an unquantified NFR fail at the tiers that promise reliability.</t>
  </si>
  <si>
    <t>FR-001 and FR-002 MUST be deterministic and MUST NOT break the rendering or interactivity of any existing spec-family artifact type</t>
  </si>
  <si>
    <t>specs/045-artifact-security/spec.html#NFR-001</t>
  </si>
  <si>
    <t>0.711  specs/045-artifact-security/verify.html, chunk 1 of 1
0.708  specs/047-slo-nfr-artifact/spec.html, chunk 1 of 4
0.704  specs/047-slo-nfr-artifact/changes/archive/2026-07-29-quantified-nfr-convention-floor/proposal.html, chunk 1 of 3
0.701  specs/047-slo-nfr-artifact/design.html, chunk 1 of 4</t>
  </si>
  <si>
    <t>G-023</t>
  </si>
  <si>
    <t>What does success criterion SC-002 of spec 119, decision resource scope, measure?</t>
  </si>
  <si>
    <t>That a reviewer in a consuming service is flagged, at the decision's declared posture, when their change touches a store owned elsewhere, in both the direct-write and own-adapter cases: 2 of 2 non-owner fixture scenarios (C and D) must flag.</t>
  </si>
  <si>
    <t>Beta's only claim paraphrased and was dropped; the expected element was not retrieved either.</t>
  </si>
  <si>
    <t>A reviewer in a consuming service is flagged, at the decision's declared posture, when their change touches a store owned elsewhere — in both the direct-write and the well-layered-own-adapter case: 2 of 2 non-owner fixture scenarios flag</t>
  </si>
  <si>
    <t>specs/119-decision-resource-scope/spec.html#SC-002</t>
  </si>
  <si>
    <t>0.761  specs/119-decision-resource-scope/design.html, chunk 1 of 5
0.744  specs/119-decision-resource-scope/verify.html, chunk 1 of 1
0.739  specs/119-decision-resource-scope/tasks.html, chunk 1 of 2
0.711  specs/108-success-criteria/spec.html, chunk 1 of 6</t>
  </si>
  <si>
    <t>G-024</t>
  </si>
  <si>
    <t>In the design for spec 026, git strategy, what does decision D-002 settle about where configuration lives?</t>
  </si>
  <si>
    <t>Config lives in a root spectastic.json with a git section ({"git": {"auto": "off"}}); an absent file or key falls back to defaults (auto=off), chosen over a hidden .spectastic/ directory.</t>
  </si>
  <si>
    <t>Decision D-002 settles that configuration lives in a file named spectastic.json at the project root.</t>
  </si>
  <si>
    <t>spectastic.json at the project root; misses the git section and the defaults.</t>
  </si>
  <si>
    <t>Q1 (specs/026-git-strategy/design.html, chunk 1 of 5): Storage New spectastic.json at project root, one git section; absent file → all keys default (D-002).</t>
  </si>
  <si>
    <t>Read a root spectastic.json with a git section ( { "git": { "auto": "off" } } ); absent file or key → defaults ( auto=off ).</t>
  </si>
  <si>
    <t>specs/026-git-strategy/design.html#D-002</t>
  </si>
  <si>
    <t>0.753  specs/026-git-strategy/design.html, chunk 1 of 5
0.710  specs/026-git-strategy/spec.html, chunk 1 of 4
0.708  specs/026-git-strategy/verify.html, chunk 1 of 1
0.693  specs/026-git-strategy/spec.html, chunk 4 of 4</t>
  </si>
  <si>
    <t>G-025</t>
  </si>
  <si>
    <t>What is task T-100 in the task list for spec 065, corpus PDF convert?</t>
  </si>
  <si>
    <t>Write a failing test that the default convert path (MarkItDown), with the stub runner and fixture shim, reaches the same terminal pack state as an equivalent adaptCorpus call, in packages/corpus/test/knowledge.convert.test.ts.</t>
  </si>
  <si>
    <t>Task T-100 is part of the task list for spec 065, corpus PDF convert, and is described as 'document conversion into the corpus'. Task numbering follows the spec's pattern, with T-1xx corresponding to US1.</t>
  </si>
  <si>
    <t>Describes T-100 generically ('document conversion'); not the failing-test task it is.</t>
  </si>
  <si>
    <t>Q1 (specs/065-corpus-pdf-convert/tasks.html, chunk 1 of 3): Tasks · 065-corpus-pdf-convert corpus convert — document conversion into the corpus Ordered, parallelizable work. Tests precede implementation. Drive through with /spectastic.implement — one task per invocation.
Q2 (specs/065-corpus-pdf-convert/tasks.html, chunk 1 of 3): 1 · Execution strategy Story IDs follow the spec's numbering (T-1xx = US1, T-2xx = US2, T-3xx = US3) regardless of build order.</t>
  </si>
  <si>
    <t>Write failing test: default convert files a doc — with the stub runner + fixture shim, the default (MarkItDown) path reaches the same terminal pack state as an equivalent adaptCorpus call.</t>
  </si>
  <si>
    <t>specs/065-corpus-pdf-convert/tasks.html#T-100</t>
  </si>
  <si>
    <t>0.788  specs/065-corpus-pdf-convert/tasks.html, chunk 1 of 3
0.747  specs/065-corpus-pdf-convert/design.html, chunk 1 of 5
0.720  specs/065-corpus-pdf-convert/spec.html, chunk 1 of 4
0.720  specs/065-corpus-pdf-convert/triage-log.html, chunk 1 of 4</t>
  </si>
  <si>
    <t>G-026</t>
  </si>
  <si>
    <t>What does FR-003 of spec 103, content budgets, say about checking a budget?</t>
  </si>
  <si>
    <t>A budget must be treated as a design constraint and must not be checked against any running text, because the real copy lives in systems the vocabulary cannot see.</t>
  </si>
  <si>
    <t>FR-003 of spec 103, content budgets, states that a budget is never checked against running text, because the copy resides in a localisation system or a person's draft. FR-003 forbids a check rather than requiring one, and an assertion is used to prevent it from being added later.</t>
  </si>
  <si>
    <t>A budget is never checked against running text; FR-003 forbids the check.</t>
  </si>
  <si>
    <t>Q1 (specs/103-content-budgets/design.html, chunk 1 of 3): The load-bearing decision is a refusal: a budget is never checked against running text, because the copy lives in a localisation system or a person's draft and a check that read only what it could reach would report clean while the rest overflowed.
Q2 (specs/103-content-budgets/tasks.html, chunk 1 of 2): Assert nothing is ever checked against running text — a test that pins a refusal, since FR-003 forbids a check rather than requiring one and only an assertion stops it being added later.</t>
  </si>
  <si>
    <t>A budget MUST be treated as a design constraint and MUST NOT be checked against any running text.</t>
  </si>
  <si>
    <t>specs/103-content-budgets/spec.html#FR-003</t>
  </si>
  <si>
    <t>0.768  specs/103-content-budgets/design.html, chunk 1 of 3
0.736  specs/103-content-budgets/verify.html, chunk 1 of 1
0.728  specs/103-content-budgets/tasks.html, chunk 1 of 2
0.710  specs/103-content-budgets/spec.html, chunk 1 of 3</t>
  </si>
  <si>
    <t>G-027</t>
  </si>
  <si>
    <t>What is decision D-001 in the design for spec 078, the federated resource URI?</t>
  </si>
  <si>
    <t>The corpus kind joins the existing shared composer: extend ResourceKind with 'corpus', add a thin named wrapper, and add an optional edition parameter emitted as ?edition= before any fragment.</t>
  </si>
  <si>
    <t>Decision D-001 in the design for spec 078, the federated resource URI, is referenced in P-3 as the application of FR-012 to uphold the coordinate as an id contract.</t>
  </si>
  <si>
    <t>Talks about P-3 and FR-012; not what D-001 decides (corpus joins the shared composer).</t>
  </si>
  <si>
    <t>Q1 (specs/078-federated-resource-uri/design.html, chunk 1 of 7): P-1 · Source order is reading order OK No artifact rendering changes.
Q2 (specs/078-federated-resource-uri/design.html, chunk 1 of 7): P-3 · IDs are contracts OK Directly upheld — the coordinate is an id contract, and FR-012 forbids changing existing spec/contract output. D-004 is that clause applied.</t>
  </si>
  <si>
    <t>Extend ResourceKind with 'corpus' and add a thin named wrapper beside the existing spec and contract wrappers. Add an optional edition parameter to the shared composer, emitted as ?edition= before any fragment.</t>
  </si>
  <si>
    <t>specs/078-federated-resource-uri/design.html#D-001</t>
  </si>
  <si>
    <t>0.751  specs/078-federated-resource-uri/design.html, chunk 1 of 7
0.710  specs/078-federated-resource-uri/design.html, chunk 7 of 7
0.695  specs/078-federated-resource-uri/verify.html, chunk 1 of 1
0.675  specs/078-federated-resource-uri/spec.html, chunk 1 of 6</t>
  </si>
  <si>
    <t>G-028</t>
  </si>
  <si>
    <t>What is success criterion SC-001 of spec 100, screen flows?</t>
  </si>
  <si>
    <t>For a feature declaring a journey, a reader can state the order of its screens and the failure branch of each step from the declaration alone, opening 0 other files.</t>
  </si>
  <si>
    <t>Success criterion SC-001 of spec 100, screen flows requires acceptance proof through tests T-100 to T-106.</t>
  </si>
  <si>
    <t>Quotes 108's verify page about tests T-100 to T-106; not spec 100's SC-001.</t>
  </si>
  <si>
    <t>Q1 (specs/108-success-criteria/verify.html, chunk 1 of 1): Success criterion Acceptance Proof (tests) SC-001 US1 T-100, T-101, T-102, T-103, T-104, T-105, T-106</t>
  </si>
  <si>
    <t>specs/100-screen-flows/spec.html#SC-001</t>
  </si>
  <si>
    <t>0.709  specs/100-screen-flows/verify.html, chunk 1 of 1
0.680  specs/108-success-criteria/design.html, chunk 1 of 7
0.678  specs/108-success-criteria/verify.html, chunk 1 of 1
0.676  specs/100-screen-flows/spec.html, chunk 1 of 4</t>
  </si>
  <si>
    <t>G-029</t>
  </si>
  <si>
    <t>relation</t>
  </si>
  <si>
    <t>Which success criteria in spec 109, the prose theme, validate FR-008 (the receding sticky header)?</t>
  </si>
  <si>
    <t>Two: SC-003 (keyboard readers reach every control the receding header carries, 100%) and SC-001 (reviewers read a long artifact end to end in one sitting); both list FR-008 in their validates attribute.</t>
  </si>
  <si>
    <t>FR-008, the receding sticky header, is validated by the rationale in FR-009 which scopes the sticky, backdrop-blurred header to vivid only, resolving the P-5 calm-density tension. The amendment in P-5 (calm density) is referenced as a check, not a blocker, which aligns with the validation of FR-008 through the calm-density tension resolution.</t>
  </si>
  <si>
    <t>Answers from 016's triage log about FR-009; never names SC-001 or SC-003.</t>
  </si>
  <si>
    <t>Q1 (specs/016-theme-support/triage-log.html, chunk 2 of 10): The amendment should confirm vivid still honours P-5 (calm density) — the reference reads as calm-but-dense, so this is a check, not a blocker.
Q2 (specs/016-theme-support/triage-log.html, chunk 6 of 10): Spec upstream "We should also have the sticky header in calm" reads like a quick CSS toggle, but FR-009 deliberately scopes the sticky, backdrop-blurred header to vivid only — its rationale states this resolves the P-5 calm-density tension ("calm keeps its minimal chrome … calm has no header").</t>
  </si>
  <si>
    <t>Readers navigating by keyboard reach every control the receding header carries — share reachable 100% (target 100%), from no established baseline.</t>
  </si>
  <si>
    <t>specs/109-prose-theme/spec.html#SC-003
specs/109-prose-theme/spec.html#SC-001</t>
  </si>
  <si>
    <t>0.743  specs/016-theme-support/triage-log.html, chunk 2 of 10
0.738  specs/016-theme-support/triage-log.html, chunk 6 of 10
0.735  specs/016-theme-support/triage-log.html, chunk 10 of 10
0.734  specs/108-success-criteria/design.html, chunk 1 of 7</t>
  </si>
  <si>
    <t>G-030</t>
  </si>
  <si>
    <t>Which requirements does success criterion SC-002 of spec 110, visual one-step, validate, and what do they demand?</t>
  </si>
  <si>
    <t>FR-003 and NFR-001: before any model call or file write, the invocation must refuse when the named export cannot be read and name the path; a refusing run makes 0 model calls and writes 0 files.</t>
  </si>
  <si>
    <t>Success criterion SC-002 of spec 110, visual one-step, validates the requirement to 'land the visuals in one step'. This requirement demands a method to run, demo, and verify the feature, with a Run/Demo block grounded in an actual run.</t>
  </si>
  <si>
    <t>Never names FR-003 or NFR-001.</t>
  </si>
  <si>
    <t>Q1 (specs/110-visual-one-step/verify.html, chunk 1 of 1): Verify · 110-visual-one-step Land the visuals in one step How to run, demo, and verify this feature — aggregated from the spec and tasks, with a Run/Demo block grounded in the run that actually happened.</t>
  </si>
  <si>
    <t>specs/110-visual-one-step/spec.html#FR-003
specs/110-visual-one-step/spec.html#NFR-001</t>
  </si>
  <si>
    <t>0.774  specs/108-success-criteria/verify.html, chunk 1 of 1
0.760  specs/110-visual-one-step/verify.html, chunk 1 of 1
0.752  specs/108-success-criteria/design.html, chunk 1 of 7
0.733  specs/110-visual-one-step/triage-log.html, chunk 1 of 4</t>
  </si>
  <si>
    <t>G-031</t>
  </si>
  <si>
    <t>Spec 058's corpus-license rule reads a license field that 058 says it does not own. Which spec defines that field, and what else goes in that frontmatter?</t>
  </si>
  <si>
    <t>051-knowledge-corpus (FR-003): every corpus document carries provenance frontmatter of origin/origin-url, edition, license, converter, a content hash and a status.</t>
  </si>
  <si>
    <t>Spec 058's corpus-license rule references a license field that it does not own, as per the design document. The field in question is defined by the corpus-licensing spec, which includes a permissive allowlist and a written policy for escape hatches.</t>
  </si>
  <si>
    <t>Says 058 itself defines the field; it is 051 FR-003.</t>
  </si>
  <si>
    <t>Q1 (specs/058-corpus-licensing/design.html, chunk 1 of 6): Design · 058-corpus-licensing Corpus licensing One folded validate rule that classifies a declared license against a permissive allowlist — surfacing everything else, never adjudicating any of it — plus a written policy that names the escape hatch.</t>
  </si>
  <si>
    <t>Every corpus document MUST carry provenance frontmatter: origin / origin-url , edition , license , converter , a content hash, and a status (e.g. illustrative-excerpt vs authoritative).</t>
  </si>
  <si>
    <t>specs/051-knowledge-corpus/spec.html#FR-003
specs/058-corpus-licensing/spec.html#requirements</t>
  </si>
  <si>
    <t>0.785  specs/058-corpus-licensing/design.html, chunk 4 of 6
0.784  specs/058-corpus-licensing/design.html, chunk 1 of 6
0.774  specs/058-corpus-licensing/design.html, chunk 6 of 6
0.772  specs/058-corpus-licensing/tasks.html, chunk 1 of 2</t>
  </si>
  <si>
    <t>G-032</t>
  </si>
  <si>
    <t>Spec 055 (corpus in review) leaves injecting the corpus into the authoring verbs out of scope. Which spec handles that, and what does it require?</t>
  </si>
  <si>
    <t>054-corpus-in-prompt: when a corpus is present, core must inject its index and a grounding directive into every AI-verb prompt, using the same fenced mechanism that injects the principles.</t>
  </si>
  <si>
    <t>Spec 055 (corpus in review) does not include injecting the corpus into the authoring verbs. The requirement for injecting the corpus into the authoring verbs is addressed in another specification, though the exact reference is not provided in the quoted text.</t>
  </si>
  <si>
    <t>Says another spec handles it but cannot say which; 054 was never retrieved.</t>
  </si>
  <si>
    <t>Q1 (specs/055-corpus-in-review/design.html, chunk 1 of 5): The guarantee is presence; use stays advisory. Status Accepted Spec 055-corpus-in-review Owner Brian Corbin · @briancorbinxyz Branch main Created 25 Jul 2026 Read time 054 already places the fenced corpus in the core critic's reviewPrompt, but with an authoring directive;</t>
  </si>
  <si>
    <t>When a corpus is present, core MUST inject its index and a grounding directive into every AI-verb prompt, via the same fenced mechanism that already injects the principles.</t>
  </si>
  <si>
    <t>specs/054-corpus-in-prompt/spec.html#FR-001
specs/055-corpus-in-review/spec.html#requirements</t>
  </si>
  <si>
    <t>0.803  specs/055-corpus-in-review/design.html, chunk 1 of 5
0.797  specs/055-corpus-in-review/tasks.html, chunk 1 of 3
0.794  specs/055-corpus-in-review/spec.html, chunk 1 of 3
0.778  specs/055-corpus-in-review/verify.html, chunk 1 of 1</t>
  </si>
  <si>
    <t>G-033</t>
  </si>
  <si>
    <t>Spec 023's design dropped its decision on generating restore tasks after an exploration graduates. Which slice took that over, and how is restore invoked now?</t>
  </si>
  <si>
    <t>It moved to the sibling slice TBD-explore-restore, now 024-explore-restore, where restore is a mode of /spectastic.tasks: /spectastic.tasks &lt;id&gt; --restore, or an announced prompt when a graduated marker is present.</t>
  </si>
  <si>
    <t>Spec 023's decision to generate restore tasks was split out into a separate slice, 024-explore-restore. The restore path is now invoked explicitly via a --restore flag or an announced prompt, and the output is banner-labelled with its classification.</t>
  </si>
  <si>
    <t>Moved to 024-explore-restore; restore via --restore or an announced prompt.</t>
  </si>
  <si>
    <t>Q1 (specs/024-explore-restore/spec.html, chunk 1 of 3): Specification · 024-explore-restore explore restore — refactor or rebuild a graduated build to spec The restore half of graduation, split out of 023: /spectastic.tasks &lt;id&gt; --restore turns a graduated spec + plan into a path-appropriate tasks.html — refactor-to-comply for a tracer-bullet, clean-rebuild for a spike — reading the frozen classification, test-first either way.
Q2 (specs/024-explore-restore/spec.html, chunk 1 of 3): The restore path is always explicit — a --restore flag or an announced prompt — never a silent branch, and the output is banner-labelled with its classification.</t>
  </si>
  <si>
    <t>US2 (restore-scaffold) was split to the sibling slice TBD-explore-restore when 023's budget went red (the spec's INVEST·Small trigger).</t>
  </si>
  <si>
    <t>specs/023-explore-graduation/design.html#D-006
specs/024-explore-restore/spec.html#FR-001</t>
  </si>
  <si>
    <t>0.809  specs/024-explore-restore/spec.html, chunk 1 of 3
0.792  specs/024-explore-restore/spec.html, chunk 3 of 3
0.787  specs/024-explore-restore/tasks.html, chunk 1 of 2
0.768  specs/024-explore-restore/design.html, chunk 1 of 4</t>
  </si>
  <si>
    <t>G-034</t>
  </si>
  <si>
    <t>Which spec superseded 001-cli, and what did it require happen to the old Python CLI?</t>
  </si>
  <si>
    <t>003-init-node-port: at its apply, scripts/spectastic and scripts/test_spectastic.py were removed and 001-cli's status flipped to superseded with a forward link to 003; 001 stays as historical record.</t>
  </si>
  <si>
    <t>Spec 001-cli was superseded by 003-init-node-port on 15 Jun 2026. The old Python CLI described in 001-cli was deleted from the repo, and spectastic init now lives as a subcommand of @spectastic/cli.</t>
  </si>
  <si>
    <t>Superseded by 003-init-node-port; the Python CLI was deleted.</t>
  </si>
  <si>
    <t>Q1 (specs/001-cli/spec.html, chunk 1 of 3): Superseded by 003-init-node-port on 15 Jun 2026. The Python single-file CLI described below has been deleted from the repo; spectastic init now lives as a subcommand of @spectastic/cli.
Q2 (specs/003-init-node-port/tasks.html, chunk 3 of 4): SC-003 Post-apply: no Python; 001-cli superseded T-901, T-902, T-903, T-906</t>
  </si>
  <si>
    <t>the Python script scripts/spectastic and its test file scripts/test_spectastic.py MUST be removed from the repository, and spec 001-cli 's &lt;spec-status&gt; MUST flip to superseded with a forward link to this spec.</t>
  </si>
  <si>
    <t>specs/003-init-node-port/spec.html#FR-010</t>
  </si>
  <si>
    <t>0.806  specs/003-init-node-port/tasks.html, chunk 3 of 4
0.719  specs/001-cli/design.html, chunk 1 of 3
0.710  specs/001-cli/spec.html, chunk 1 of 3
0.708  specs/000-spectastic/changes/archive/2026-06-15-lifecycle-state-transitions/proposal.html, chunk 2 of 4</t>
  </si>
  <si>
    <t>G-035</t>
  </si>
  <si>
    <t>In spec 062, corpus identity migration, which test task proves success criterion SC-002, and what does that task test?</t>
  </si>
  <si>
    <t>T-300: red-first resolver tests showing two packs sharing a legacy id resolve by registry identity, not array order; edition-pinned citations to a retained superseded edition still resolve; and a registry-present absent id returns null.</t>
  </si>
  <si>
    <t>In spec 062, the test task that proves success criterion SC-002 is 'Phase 3a — US1 · Reshape &amp; register both packs Tests (write &amp; fail first)'. This task tests regression-testing the migrated registry, asserting the committed root registry holds exactly KB-0001/KB-0002 at their expected coordinates and that allocateRegistryIds/mergeRegistryRows never reuse an id.</t>
  </si>
  <si>
    <t>Names a phase heading, not T-300, and describes a different test.</t>
  </si>
  <si>
    <t>Q1 (specs/062-corpus-identity-migration/tasks.html, chunk 1 of 3): Phase 3a — US1 · Reshape &amp; register both packs Tests (write &amp; fail first) Regression-test the migrated registry — assert the committed root registry holds exactly KB-0001/KB-0002 (four-digit, repo-unique) at their expected (marketplace, plugin, slug) coordinates, and that allocateRegistryIds/mergeRegistryRows never reuse an id (the idempotent-re-import proof). Closes SC-001, SC-003.</t>
  </si>
  <si>
    <t>SC-002 US3 T-300</t>
  </si>
  <si>
    <t>specs/062-corpus-identity-migration/verify.html#trace
specs/062-corpus-identity-migration/tasks.html#T-300</t>
  </si>
  <si>
    <t>0.807  specs/062-corpus-identity-migration/tasks.html, chunk 1 of 3
0.790  specs/062-corpus-identity-migration/verify.html, chunk 1 of 1
0.753  specs/062-corpus-identity-migration/design.html, chunk 1 of 5
0.751  specs/062-corpus-identity-migration/spec.html, chunk 1 of 5</t>
  </si>
  <si>
    <t>G-036</t>
  </si>
  <si>
    <t>Spec 076 emits a change notification when a contract is promoted. Which spec provides that promotion hook, and where does promotion actually run?</t>
  </si>
  <si>
    <t>071-contract-promotion (its US1 promotion hook); per 071's D-002, promotion runs inside applyCommand, immediately before the existing proposal-archive step, with no new verb.</t>
  </si>
  <si>
    <t>Spec 076's change notification is triggered by the promotion process, which is a side effect of the apply function. The promotion hook is provided by the apply function, which folds a proposal and archives it.</t>
  </si>
  <si>
    <t>Says the apply function provides the hook; never names 071.</t>
  </si>
  <si>
    <t>Q1 (specs/071-contract-promotion/design.html, chunk 1 of 6): Promotion is a side effect of apply, which already folds a proposal and archives it — contracts ride the same gesture.</t>
  </si>
  <si>
    <t>071 US1 → US2 (the promotion hook the notification fires from)</t>
  </si>
  <si>
    <t>specs/076-contract-export-handover/tasks.html#dependencies
specs/071-contract-promotion/design.html#D-002</t>
  </si>
  <si>
    <t>0.758  specs/071-contract-promotion/design.html, chunk 1 of 6
0.755  specs/071-contract-promotion/triage-log.html, chunk 1 of 1
0.748  specs/076-contract-export-handover/design.html, chunk 1 of 6
0.732  specs/071-contract-promotion/spec.html, chunk 1 of 3</t>
  </si>
  <si>
    <t>G-037</t>
  </si>
  <si>
    <t>stale</t>
  </si>
  <si>
    <t>How does spec 004's npm publish workflow derive the dist-tag, and what implements that logic?</t>
  </si>
  <si>
    <t>A tested Node script, scripts/derive-dist-tag.mjs: a pure deriveDistTags(version, publishedVersions) plus one network function, keyed on whether a stable release exists, and failing rather than guessing when registry state is unknown.</t>
  </si>
  <si>
    <t>Spec 004's npm publish workflow derives the dist-tag via scripts/derive-dist-tag.mjs, which computes the tag set based on the existence of a stable release rather than the version string. The logic implemented in scripts/derive-dist-tag.mjs moves pre-releases to both next and latest until a stable release exists, after which pre-releases are directed only to next.</t>
  </si>
  <si>
    <t>The derive-dist-tag.mjs script keyed on whether a stable release exists: the current D-006, not the superseded inline bash rule.</t>
  </si>
  <si>
    <t>Q1 (specs/004-npm-publish-workflow/design.html, chunk 1 of 5): The dist-tag set is computed by scripts/derive-dist-tag.mjs (D-006, superseding D-005's inline bash). It keys on whether a stable release exists rather than on the version string: while no bare-semver version has ever been published, a pre-release moves both next and latest, so the documented bare install resolves to the newest build; once a stable exists the guard engages and pre-releases go to next only.
Q2 (specs/004-npm-publish-workflow/design.html, chunk 1 of 5): The publish job triggers on tag pushes matching v*; it runs the same gates, additionally verifies the tag-derived version matches all three packages' package.json, and then publishes for real with --provenance --access public and the derived dist-tag set.</t>
  </si>
  <si>
    <t>move the derivation into scripts/derive-dist-tag.mjs , splitting a pure deriveDistTags(version, publishedVersions) from the one function that touches the network.</t>
  </si>
  <si>
    <t>specs/004-npm-publish-workflow/design.html#D-006</t>
  </si>
  <si>
    <t>0.817  specs/004-npm-publish-workflow/spec.html, chunk 1 of 7
0.815  specs/004-npm-publish-workflow/design.html, chunk 1 of 5
0.792  specs/004-npm-publish-workflow/tasks.html, chunk 1 of 5
0.781  specs/004-npm-publish-workflow/triage-log.html, chunk 1 of 2</t>
  </si>
  <si>
    <t>G-038</t>
  </si>
  <si>
    <t>How quickly must spectastic init complete in an empty directory?</t>
  </si>
  <si>
    <t>Under 500 ms p95 on a modern laptop (Apple M-series or comparable); the work is pure filesystem with no network.</t>
  </si>
  <si>
    <t>In an empty directory on a modern macOS or Linux machine, spectastic init MUST complete in under 2 seconds wall-clock.</t>
  </si>
  <si>
    <t>'Under 2 seconds' is the superseded 001-cli requirement; the current one is under 500 ms p95.</t>
  </si>
  <si>
    <t>yes</t>
  </si>
  <si>
    <t>Q1 (specs/001-cli/spec.html, chunk 2 of 3): In an empty directory on a modern macOS or Linux machine, init MUST complete in under 2 seconds wall-clock (file IO dominates; no network calls).</t>
  </si>
  <si>
    <t>Init MUST complete in under 500 ms p95 on a modern laptop (Apple M-series or comparable) in an empty directory.</t>
  </si>
  <si>
    <t>specs/003-init-node-port/spec.html#NFR-001</t>
  </si>
  <si>
    <t>0.756  specs/001-cli/spec.html, chunk 1 of 3
0.732  specs/001-cli/tasks.html, chunk 2 of 3
0.716  specs/001-cli/spec.html, chunk 2 of 3
0.710  specs/001-cli/tasks.html, chunk 1 of 3</t>
  </si>
  <si>
    <t>G-039</t>
  </si>
  <si>
    <t>What are the eight lifecycle slash commands spectastic must ship?</t>
  </si>
  <si>
    <t>/spectastic.principles, .spec, .design, .tasks, .implement, .propose, .apply and .triage; extended opt-in verbs such as explain and explore may also ship.</t>
  </si>
  <si>
    <t>Spectastic must ship eight lifecycle slash commands: /spectastic.principles, /spectastic.spec, /spectastic.design, /spectastic.tasks, /spectastic.implement, /spectastic.propose, /spectastic.apply, and /spectastic.triage.</t>
  </si>
  <si>
    <t>All eight commands, including /spectastic.implement.</t>
  </si>
  <si>
    <t>Q1 (specs/000-spectastic/changes/archive/2026-06-12-tool-001-add-implement/proposal.html, chunk 1 of 2): Spectastic MUST ship eight Claude Code slash commands across the lifecycle — /spectastic.principles, /spectastic.spec, /spectastic.design, /spectastic.tasks, /spectastic.implement, /spectastic.propose, /spectastic.apply, /spectastic.triage — that drive the templates without introducing a separate CLI.</t>
  </si>
  <si>
    <t>Spectastic MUST ship eight Claude Code slash commands across the lifecycle — /spectastic.principles , /spectastic.spec , /spectastic.design , /spectastic.tasks , /spectastic.implement , /spectastic.propose , /spectastic.apply , /spectastic.triage</t>
  </si>
  <si>
    <t>specs/090-command-surface/spec.html#REQ-TOOL-001</t>
  </si>
  <si>
    <t>0.771  specs/000-spectastic/changes/archive/2026-07-02-skill-invocation-metadata/proposal.html, chunk 4 of 5
0.771  specs/000-spectastic/changes/archive/2026-06-12-tool-command-count/proposal.html, chunk 1 of 2
0.764  specs/000-spectastic/changes/archive/2026-06-12-tool-001-add-implement/proposal.html, chunk 1 of 2
0.755  specs/000-spectastic/changes/archive/2026-07-02-skill-invocation-metadata/proposal.html, chunk 3 of 5</t>
  </si>
  <si>
    <t>G-040</t>
  </si>
  <si>
    <t>How many files does spectastic init produce in an empty directory after a global npm install, according to the publish spec's success criterion?</t>
  </si>
  <si>
    <t>A 40-file tree, byte-identical to the local-clone install (the count rose from 32 when the default scaffold began writing the eight portable Agent-Skills SKILL.md files).</t>
  </si>
  <si>
    <t>According to the publish spec's success criterion, spectastic init produces a 29-file tree in an empty directory after a global npm install.</t>
  </si>
  <si>
    <t>'29-file tree' comes from an older archived proposal; the current criterion is 40 files. Not caught by the stale check: that proposal is not in the question's stale list.</t>
  </si>
  <si>
    <t>Q1 (specs/004-npm-publish-workflow/changes/archive/2026-08-12-visual-templates-scaffold-count/proposal.html, chunk 2 of 3): Post-publish, an outside user with Node 20+ and no clone runs npm i -g @spectastic/cli, then spectastic init in an empty directory yields a 29-file tree byte-identical to the local-clone install;</t>
  </si>
  <si>
    <t>spectastic init in an empty directory yields a 40-file tree byte-identical to the local-clone install</t>
  </si>
  <si>
    <t>specs/004-npm-publish-workflow/spec.html#SC-001</t>
  </si>
  <si>
    <t>0.801  specs/004-npm-publish-workflow/changes/archive/2026-08-12-visual-templates-scaffold-count/proposal.html, chunk 2 of 3
0.778  specs/001-cli/spec.html, chunk 1 of 3
0.754  specs/001-cli/tasks.html, chunk 2 of 3
0.749  specs/004-npm-publish-workflow/changes/archive/2026-07-23-prerelease-latest-dist-tag/proposal.html, chunk 3 of 5</t>
  </si>
  <si>
    <t>G-041</t>
  </si>
  <si>
    <t>In spec 094, the visual sidecar convention, which operation must stat only the declared paths, and what are its limits?</t>
  </si>
  <si>
    <t>Path resolution: at most 1 filesystem call per declaration and 0 directory walks, so a project with many specs pays a cost linear in declarations rather than files.</t>
  </si>
  <si>
    <t>In spec 094, the visual sidecar convention requires that a declared path must sit at its scope's conventional location. The operation must stat only the declared paths, and its limits are that two designs disagreeing about where the token set lives is an error rather than a union.</t>
  </si>
  <si>
    <t>Answers about conventional locations and token-set disagreement; not path resolution's 1 call and 0 walks.</t>
  </si>
  <si>
    <t>Q1 (specs/094-visual-sidecar-convention/design.html, chunk 1 of 6): A declared path must sit at its scope's conventional location — a token set under the project's visual/, screens under their own spec's — which is what turns a named convention into one a second author cannot get wrong.
Q2 (specs/094-visual-sidecar-convention/design.html, chunk 1 of 6): Two designs disagreeing about where the token set lives is an error rather than a union, because there is one design system and two paths are two claims about it.</t>
  </si>
  <si>
    <t>Path resolution MUST stat only the declared paths: at most 1 filesystem call per declaration, and at most 0 directory walks</t>
  </si>
  <si>
    <t>specs/094-visual-sidecar-convention/spec.html#NFR-001</t>
  </si>
  <si>
    <t>0.798  specs/094-visual-sidecar-convention/design.html, chunk 1 of 6
0.761  specs/094-visual-sidecar-convention/spec.html, chunk 1 of 4
0.761  specs/094-visual-sidecar-convention/verify.html, chunk 1 of 1
0.747  specs/094-visual-sidecar-convention/triage-log.html, chunk 1 of 6</t>
  </si>
  <si>
    <t>G-042</t>
  </si>
  <si>
    <t>In spec 099, the visual embedded view, what must happen when a materialised view no longer matches what it projects, and what is it compared against?</t>
  </si>
  <si>
    <t>It must be reported, comparing the view against the files it projects as they currently are, not against a stored digest.</t>
  </si>
  <si>
    <t>When a materialised view no longer matches what it projects, a drift check must occur. The drift check compares a rendering of the declared screens against what the design carries.</t>
  </si>
  <si>
    <t>Says the drift check compares rendered screens; the current rule compares against the files as they are now, not a digest.</t>
  </si>
  <si>
    <t>Q1 (specs/099-visual-embedded-view/triage-log.html, chunk 1 of 1): The drift check compares a rendering of the declared screens against what the design carries, and an absent view compares unequal like a stale one.</t>
  </si>
  <si>
    <t>A view that no longer matches the files it projects MUST be reported, compared against those files as they are rather than a stored digest.</t>
  </si>
  <si>
    <t>specs/099-visual-embedded-view/spec.html#FR-004</t>
  </si>
  <si>
    <t>0.781  specs/099-visual-embedded-view/spec.html, chunk 1 of 5
0.776  specs/099-visual-embedded-view/design.html, chunk 1 of 6
0.761  specs/099-visual-embedded-view/triage-log.html, chunk 1 of 1
0.756  specs/099-visual-embedded-view/verify.html, chunk 1 of 1</t>
  </si>
  <si>
    <t>G-043</t>
  </si>
  <si>
    <t>How is an individual declared screen addressed by a resource coordinate in spectastic?</t>
  </si>
  <si>
    <t>By a resource coordinate of its own kind, qualified by the owning spec; each screen must declare the name it is addressed by, and two screens in one spec resolving to the same name are an error.</t>
  </si>
  <si>
    <t>An individual declared screen is addressed by a resource coordinate that extends the existing spectastic:// grammar. The resource kind 'screen' is explicitly included in the shared list of resource kinds for the coordinate grammar. The screen resource URI does not include a name, as the view's model is designed to remain minimal.</t>
  </si>
  <si>
    <t>Partly from a withdrawn proposal ('the screen resource URI does not include a name'), which contradicts the current FR-013. Not caught by the stale check.</t>
  </si>
  <si>
    <t>Q1 (specs/119-decision-resource-scope/design.html, chunk 2 of 5): The datastore coordinate it introduces is an addressing string within the existing 067 spectastic:// grammar, not a new wire contract.
Q2 (specs/119-decision-resource-scope/design.html, chunk 2 of 5): The coordinate grammar is a single shared list a new kind joins. packages/schema/src/project-shared.ts:63 (RESOURCE_KINDS) verified ['spec','contract','corpus','unit','screen','decision'] — datastore is a one-line add;
Q3 (specs/099-visual-embedded-view/changes/withdrawn/2026-08-18-the-coordinate-gets-a-consumer/proposal.html, chunk 2 of 2): screenResourceUri(project, specId, name) — the view holds none of the three. ProjectedScreen carries id, states, annotations and renders; screen-naming.ts records the omission of name as deliberate, “keeps the view's model minimal”.</t>
  </si>
  <si>
    <t>A declared screen MUST be addressable by a resource coordinate of its own kind, qualified by the spec that owns it; a screen MUST declare the name it is addressed by</t>
  </si>
  <si>
    <t>specs/095-visual-element-vocabulary/spec.html#FR-013</t>
  </si>
  <si>
    <t>0.752  specs/119-decision-resource-scope/design.html, chunk 2 of 5
0.746  specs/095-visual-element-vocabulary/tasks.html, chunk 4 of 4
0.706  specs/079-unit-dependency-edge/design.html, chunk 2 of 5
0.705  specs/099-visual-embedded-view/changes/withdrawn/2026-08-18-the-coordinate-gets-a-consumer/proposal.html, chunk 2 of 2</t>
  </si>
  <si>
    <t>G-044</t>
  </si>
  <si>
    <t>How does the verify view (spec 021) decide which tasks are test tasks when tracing success criteria, and what happens if a story phase has no Tests subsection?</t>
  </si>
  <si>
    <t>The primary signal is a task under the story's 'Tests (write &amp; fail first)' subsection; when a phase has no Tests subsection, it falls back to a file-path test pattern (.test. / .spec.).</t>
  </si>
  <si>
    <t>The verify view identifies test tasks by file path (TEST_PATH) when tracing success criteria, as seen in the case of 025-id-uniqueness. If a story phase has no Tests subsection, the verify view falls back to identifying test tasks by file path matching test-file patterns (.test. / .spec.).</t>
  </si>
  <si>
    <t>Gets the fallback to file-path patterns, but presents it as the primary signal.</t>
  </si>
  <si>
    <t>Q1 (specs/021-verify-view/changes/archive/2026-06-27-trace-by-tests-section/proposal.html, chunk 1 of 4): The verify view's SC→test trace (FR-003) came up empty for 025-id-uniqueness because the implementation identifies a "test task" purely by file path (TEST_PATH), and fixture-driven test tasks — how every schema rule is tested (fixtures/&lt;rule&gt;/) — don't match.
Q2 (specs/021-verify-view/changes/archive/2026-07-09-verify-trace-path-fallback/proposal.html, chunk 1 of 2): When a story phase declares no Tests subsection, the aggregation MUST fall back to identifying test tasks by file path — a &lt;spec-task&gt; whose declared path matches a test-file pattern (.test. / .spec.).</t>
  </si>
  <si>
    <t>When a story phase declares no Tests subsection, the aggregation MUST fall back to identifying test tasks by file path — a &lt;spec-task&gt; whose declared path matches a test-file pattern ( .test. / .spec. ).</t>
  </si>
  <si>
    <t>specs/021-verify-view/spec.html#FR-003</t>
  </si>
  <si>
    <t>0.824  specs/021-verify-view/changes/archive/2026-06-27-trace-by-tests-section/proposal.html, chunk 1 of 4
0.797  specs/021-verify-view/changes/archive/2026-07-09-verify-trace-path-fallback/proposal.html, chunk 1 of 2
0.790  specs/021-verify-view/tasks.html, chunk 1 of 3
0.788  specs/021-verify-view/verify.html, chunk 1 of 1</t>
  </si>
  <si>
    <t>G-045</t>
  </si>
  <si>
    <t>unanswerable</t>
  </si>
  <si>
    <t>Is there a JetBrains plugin (IntelliJ or WebStorm) for spectastic's lifecycle canvas, like the VS Code extension?</t>
  </si>
  <si>
    <t>Not covered in specs/.</t>
  </si>
  <si>
    <t>The archive mentions a lifecycle canvas for VS Code, but does not reference a JetBrains plugin for spectastic. The design document describes a lifecycle canvas as a webview feature, not a JetBrains plugin.</t>
  </si>
  <si>
    <t>declined in own words</t>
  </si>
  <si>
    <t>'does not reference a JetBrains plugin': a correct decline the exact-phrase check misses.</t>
  </si>
  <si>
    <t>nothing to find</t>
  </si>
  <si>
    <t>Q1 (specs/020-vscode-extension/tasks.html, chunk 1 of 4): Tasks · 020-vscode-extension Lifecycle canvas (VS Code) Ordered, parallelizable work. Tests precede implementation. Drive through with /spectastic.implement — one task per invocation. Status Accepted Spec 020-vscode-extension Design design Branch 020-vscode-extension Created 21 Jun 2026 Read time 37 tasks across five phases. Setup → Foundational → User stories (US1·US2·US3) → Polish. Tasks marked [P] can run in parallel — different files, no dependency. Tests for a story MUST be written and failing before its implementation tasks start. Per the plan's behaviour-first strategy, every interactive piece gets a Playwright spec that runs the JS and asserts behaviour, not just structure.
Q2 (specs/020-vscode-extension/design.html, chunk 1 of 6): Design · 020-vscode-extension Lifecycle canvas (VS Code) How we will build it. Status Accepted Spec 020-vscode-extension Owner Brian Corbin · @briancorbinxyz Branch 020-vscode-extension Created 21 Jun 2026 Read time A new packages/vscode workspace package consumes @spectastic/schema to scan a selected spec's specs/&lt;id&gt;/ artifacts, extract their health, and post a LifecycleGraph to a vanilla-TS webview that draws the calm canvas; a file-watcher keeps it live and clicking a node opens the rendered artifact in a second webview.</t>
  </si>
  <si>
    <t>(none: unanswerable)</t>
  </si>
  <si>
    <t>0.746  specs/020-vscode-extension/tasks.html, chunk 1 of 4
0.733  specs/020-vscode-extension/design.html, chunk 1 of 6
0.713  specs/020-vscode-extension/spec.html, chunk 1 of 5
0.690  specs/020-vscode-extension/design.html, chunk 2 of 6</t>
  </si>
  <si>
    <t>G-046</t>
  </si>
  <si>
    <t>Can spectastic push the tasks in tasks.html to Jira so that they show up as tickets?</t>
  </si>
  <si>
    <t>spectastic generates a single-file artifact for tasks.html, which is ready to write to specs/&lt;spec-id&gt;/tasks.html. spectastic is designed to fold a proposal's tasks into a target's tasks.html, creating a new &lt;spec-task&gt; phase linked to the target's sequence.</t>
  </si>
  <si>
    <t>answered beside the point</t>
  </si>
  <si>
    <t>Describes tasks.html generation; never says there is no Jira sync.</t>
  </si>
  <si>
    <t>Q1 (specs/009-core-tasks/spec.html, chunk 4 of 5): TasksResult { html: string, phases: TaskPhase[], totalTasks: number, parallelTasks: number }. html is the rendered single-file artifact ready to write to specs/&lt;spec-id&gt;/tasks.html.
Q2 (specs/000-spectastic/changes/archive/2026-06-22-fold-proposal-tasks/proposal.html, chunk 2 of 5): 4 · Deltas target= links the live meta-spec; op= is added | modified. On /spectastic.apply, a proposal's §6 tasks MUST be folded into the target's tasks.html — specs/&lt;id&gt;/tasks.html for a spec, or the artifact's sibling tracker for the meta-spec / principles, created from templates/tasks.html if absent — as a new provenance-linked &lt;spec-task&gt; phase whose IDs continue the target's sequence.</t>
  </si>
  <si>
    <t>0.694  specs/009-core-tasks/spec.html, chunk 4 of 5
0.688  specs/000-spectastic/tasks.html, chunk 1 of 9
0.685  specs/000-spectastic/changes/archive/2026-06-22-fold-proposal-tasks/proposal.html, chunk 2 of 5
0.670  specs/000-spectastic/changes/archive/2026-06-22-fold-proposal-tasks/proposal.html, chunk 4 of 5</t>
  </si>
  <si>
    <t>G-047</t>
  </si>
  <si>
    <t>Which compliance frameworks, such as SOC 2, HIPAA, GDPR or ISO 27001, does the enterprise profile map its controls to?</t>
  </si>
  <si>
    <t>The enterprise profile maps its controls to compliance frameworks by defining required categories and gate severity, ensuring coverage through signal presence. The enforcement mechanism is grounded in spectastic's own rules, with guarantees enforced at the git/CI boundary rather than through direct validation.</t>
  </si>
  <si>
    <t>accepted false premise</t>
  </si>
  <si>
    <t>Says the enterprise profile maps controls to compliance frameworks; nothing in the archive says so.</t>
  </si>
  <si>
    <t>Q1 (specs/042-profile-enforcement/spec.html, chunk 7 of 8): Profile enforce policy The enforce field on each profile: the required categories + gate severity (hard/soft/none). Invariant: a category is "covered" if any signal for it is present — detection reports gaps, never prescribes a specific tool (brownfield respect).
Q2 (specs/042-profile-enforcement/spec.html, chunk 7 of 8): The 041 enforcement follow-on. Grounds the gate as spectastic enforce (not a validate rule — the engine sees only spec-html) so the guarantee lives at the git/CI boundary (P-8).</t>
  </si>
  <si>
    <t>0.691  specs/042-profile-enforcement/spec.html, chunk 7 of 8
0.690  specs/041-init-profiles/changes/archive/2026-07-18-profile-principle-catalog-next/proposal.html, chunk 2 of 5
0.690  specs/041-init-profiles/changes/archive/2026-07-11-profile-principle-catalog/proposal.html, chunk 2 of 4
0.689  specs/041-init-profiles/changes/archive/2026-07-11-observability-slo-principles/proposal.html, chunk 2 of 3</t>
  </si>
  <si>
    <t>G-048</t>
  </si>
  <si>
    <t>Can two people edit the same spec at the same time, Google Docs style, with live collaboration?</t>
  </si>
  <si>
    <t>The archive discusses collaboration via GitHub PR with a rendered preview or a dedicated viewer supporting inline comments. The diff process is mechanical, involving heading + paragraph → component with stable ID and priority.</t>
  </si>
  <si>
    <t>Talks about PR review with inline comments; never says there is no live co-editing.</t>
  </si>
  <si>
    <t>Q1 (specs/000-spectastic/spec.html, chunk 4 of 10): Collab. What's the review surface — GitHub PR with a rendered preview, or a dedicated viewer that supports inline comments anchored to id attributes?
Q2 (specs/000-spectastic/spec.html, chunk 4 of 10): The diff is mechanical: heading + paragraph → component with stable ID and priority.</t>
  </si>
  <si>
    <t>0.650  specs/000-spectastic/spec.html, chunk 4 of 10
0.640  specs/002-validate-cli/changes/archive/2026-06-14-align-fr-011-with-impl-scope/proposal.html, chunk 3 of 3
0.640  specs/105-design-source-import/changes/archive/2026-08-18-what-the-design-tool-is/proposal.html, chunk 2 of 5
0.639  specs/067-spec-project-identity/spec.html, chunk 4 of 5</t>
  </si>
  <si>
    <t>G-049</t>
  </si>
  <si>
    <t>Is there an official Docker image for running the spectastic CLI in CI?</t>
  </si>
  <si>
    <t>The spectastic CLI includes a 'run' command with full suite and validate options, indicating a structured testing approach. Versioning for cli, schema, and core packages is synchronized, suggesting a coordinated release strategy. A stub AIProvider is used in specCommand without Claude Code, which is already covered by T-100.</t>
  </si>
  <si>
    <t>Lists CLI facts; never addresses a Docker image.</t>
  </si>
  <si>
    <t>Q1 (specs/037-hands-off-pipeline/tasks.html, chunk 2 of 2): packages/cli/src/commands/run.ts Full suite + validate — targeted tests green, full suite green, spectastic validate clean; plan/tasks parity (absent decisions unchanged).
Q2 (specs/011-core-spec/tasks.html, chunk 4 of 5): commands/spectastic.spec.md Closes FR-012. US3's runtime concern — a stub AIProvider driving specCommand without Claude Code — is already covered by T-100.
Q3 (specs/011-core-spec/tasks.html, chunk 4 of 5): CHANGELOG.md Bump all three package.json versions to 0.1.0-pre.13 in lockstep — cli, schema, core. Update pnpm-lock.yaml. The synced-version policy from 006 D-001 stays in force.</t>
  </si>
  <si>
    <t>0.690  specs/037-hands-off-pipeline/tasks.html, chunk 2 of 2
0.689  specs/011-core-spec/tasks.html, chunk 4 of 5
0.685  specs/016-theme-support/spec.html, chunk 3 of 8
0.680  specs/001-cli/spec.html, chunk 1 of 3</t>
  </si>
  <si>
    <t>G-050</t>
  </si>
  <si>
    <t>Can spectastic export a finished spec as a Microsoft Word (.docx) document?</t>
  </si>
  <si>
    <t>Spectastic MAY shell out to a CLI for deterministic operations, but there is no mention of exporting to .docx. The kernel function MUST NOT write to the filesystem, implying that file export, including .docx, is not part of its core functionality.</t>
  </si>
  <si>
    <t>'no mention of exporting to .docx': a correct decline the exact-phrase check misses.</t>
  </si>
  <si>
    <t>Q1 (specs/011-core-spec/spec.html, chunk 4 of 5): commands/spectastic.spec.md MUST gain a MAY-Bash-to-CLI note per 006 FR-009: the LLM MAY shell out to spectastic spec for deterministic operations (template copy, asset path rewrite, ID assignment, file write) but MUST NOT be required to.
Q2 (specs/011-core-spec/spec.html, chunk 3 of 5): The kernel function MUST return a structured SpecResult containing the generated html string, the resolved specId, and a requirementsCount. The kernel MUST NOT write to the filesystem; the CLI subcommand (or any downstream surface) owns the writeFile call.</t>
  </si>
  <si>
    <t>0.768  specs/011-core-spec/spec.html, chunk 4 of 5
0.765  specs/000-spectastic/spec.html, chunk 1 of 10
0.759  specs/011-core-spec/spec.html, chunk 3 of 5
0.724  specs/011-core-spec/spec.html, chunk 2 of 5</t>
  </si>
  <si>
    <t>Answer labels by stratum</t>
  </si>
  <si>
    <t>Counts follow the Final label column on Review, so they update as you overrule drafts. The Draft column keeps the original count for comparison.</t>
  </si>
  <si>
    <t>Label</t>
  </si>
  <si>
    <t>Total</t>
  </si>
  <si>
    <t>Draft total</t>
  </si>
  <si>
    <t>Change</t>
  </si>
  <si>
    <t>abstained correctly</t>
  </si>
  <si>
    <t>Answerable questions</t>
  </si>
  <si>
    <t>Correct on answerable (the article's headline count)</t>
  </si>
  <si>
    <t>Correct share of answerable</t>
  </si>
  <si>
    <t>Correct + partly</t>
  </si>
  <si>
    <t>Stale passed off as current</t>
  </si>
  <si>
    <t>Labels you changed</t>
  </si>
  <si>
    <t>Rows with your label or note</t>
  </si>
  <si>
    <t>Reviewed by</t>
  </si>
  <si>
    <t>How to use this workbook</t>
  </si>
  <si>
    <t>Means</t>
  </si>
  <si>
    <t>Answerable. Matches the reference in substance.</t>
  </si>
  <si>
    <t>Answerable. Gets part of the reference right; misses or misstates the rest.</t>
  </si>
  <si>
    <t>Answerable. Misses or contradicts the reference.</t>
  </si>
  <si>
    <t>Answerable, but Alpha said "Not in the archive."</t>
  </si>
  <si>
    <t>Unanswerable, and Alpha said exactly "Not in the archive."</t>
  </si>
  <si>
    <t>Unanswerable. Says it isn't covered, but not with the abstention phrase.</t>
  </si>
  <si>
    <t>Unanswerable. Answers something nearby without asserting the false premise.</t>
  </si>
  <si>
    <t>Unanswerable. Asserts what the question wrongly presumes.</t>
  </si>
  <si>
    <t>• On Review, yellow columns are yours: Your label, Your stale as current, Your note. Leave a cell blank to accept the draft.</t>
  </si>
  <si>
    <t>• Final label and Final stale as current (green) show your call where you made one, the draft otherwise. Changed labels turn orange.</t>
  </si>
  <si>
    <t>• Stale as current: yes when Alpha presents a superseded or withdrawn value as the current one. Pick no to clear a draft yes.</t>
  </si>
  <si>
    <t>• ⚑ marks the seven drafts most worth a second look: G-008, G-009, G-013, G-015, G-018, G-024, G-044.</t>
  </si>
  <si>
    <t>• Retrieval: hit at rank N means a top-4 chunk holds the expected element whole. A miss can still produce a correct answer.</t>
  </si>
  <si>
    <t>• Quotations Alpha was given are everything Alpha saw: Beta's quotations that traced word for word to a retrieved chunk.</t>
  </si>
  <si>
    <t>• Evidence in the archive is the passage the reference answer was written from.</t>
  </si>
  <si>
    <t>• Summary recounts everything from Final label. Put your name in Reviewed by when you're done.</t>
  </si>
  <si>
    <t>• Source: run of 2026-10 on the episode-3 branch (qwen3:8b, nomic-embed-text:v1.5, k=4, spectastic c64d41c). Draft labels by Claude.</t>
  </si>
  <si>
    <t>Looks good</t>
  </si>
  <si>
    <t>the correct answer was ranked higher so seems selection needs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</si>
</sst>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sz val="10"/>
      <name val="Arial"/>
      <family val="2"/>
    </font>
    <font>
      <b/>
      <sz val="10"/>
      <color rgb="FFFFFFFF"/>
      <name val="Arial"/>
      <family val="2"/>
    </font>
    <font>
      <sz val="10"/>
      <name val="Arial"/>
      <family val="2"/>
    </font>
    <font>
      <b/>
      <sz val="10"/>
      <name val="Arial"/>
      <family val="2"/>
    </font>
    <font>
      <b/>
      <sz val="14"/>
      <name val="Arial"/>
      <family val="2"/>
    </font>
    <font>
      <i/>
      <sz val="10"/>
      <name val="Arial"/>
      <family val="2"/>
    </font>
  </fonts>
  <fills count="6">
    <fill>
      <patternFill patternType="none"/>
    </fill>
    <fill>
      <patternFill patternType="gray125"/>
    </fill>
    <fill>
      <patternFill patternType="solid">
        <fgColor rgb="FF305496"/>
        <bgColor rgb="FF666699"/>
      </patternFill>
    </fill>
    <fill>
      <patternFill patternType="solid">
        <fgColor rgb="FFBF8F00"/>
        <bgColor rgb="FF808000"/>
      </patternFill>
    </fill>
    <fill>
      <patternFill patternType="solid">
        <fgColor rgb="FFFFFF00"/>
        <bgColor rgb="FFFFFF00"/>
      </patternFill>
    </fill>
    <fill>
      <patternFill patternType="solid">
        <fgColor rgb="FFE2EFDA"/>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0" borderId="0" xfId="0" applyFont="1" applyAlignment="1">
      <alignment vertical="top"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5" fillId="0" borderId="0" xfId="0" applyFont="1"/>
    <xf numFmtId="0" fontId="6" fillId="0" borderId="0" xfId="0" applyFont="1"/>
    <xf numFmtId="0" fontId="2" fillId="2" borderId="1" xfId="0" applyFont="1" applyFill="1" applyBorder="1" applyAlignment="1">
      <alignment horizontal="center" wrapText="1"/>
    </xf>
    <xf numFmtId="0" fontId="3" fillId="0" borderId="1" xfId="0" applyFont="1" applyBorder="1"/>
    <xf numFmtId="0" fontId="3" fillId="5" borderId="1" xfId="0" applyFont="1" applyFill="1" applyBorder="1" applyAlignment="1">
      <alignment horizontal="center"/>
    </xf>
    <xf numFmtId="0" fontId="4" fillId="5"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4" fillId="0" borderId="1" xfId="0" applyFont="1" applyBorder="1"/>
    <xf numFmtId="0" fontId="4" fillId="0" borderId="0" xfId="0" applyFont="1"/>
    <xf numFmtId="1" fontId="3" fillId="0" borderId="1" xfId="0" applyNumberFormat="1" applyFont="1" applyBorder="1"/>
    <xf numFmtId="164" fontId="3" fillId="0" borderId="1" xfId="0" applyNumberFormat="1" applyFont="1" applyBorder="1"/>
    <xf numFmtId="0" fontId="3" fillId="4" borderId="1" xfId="0" applyFont="1" applyFill="1" applyBorder="1"/>
    <xf numFmtId="0" fontId="2" fillId="2" borderId="1" xfId="0" applyFont="1" applyFill="1" applyBorder="1"/>
    <xf numFmtId="0" fontId="1" fillId="4" borderId="1" xfId="0" applyFont="1" applyFill="1" applyBorder="1" applyAlignment="1">
      <alignment vertical="top" wrapText="1"/>
    </xf>
  </cellXfs>
  <cellStyles count="1">
    <cellStyle name="Normal" xfId="0" builtinId="0"/>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abSelected="1" zoomScale="169" zoomScaleNormal="169" workbookViewId="0">
      <pane xSplit="3" ySplit="1" topLeftCell="P9" activePane="bottomRight" state="frozen"/>
      <selection pane="topRight" activeCell="D1" sqref="D1"/>
      <selection pane="bottomLeft" activeCell="A2" sqref="A2"/>
      <selection pane="bottomRight" activeCell="P10" sqref="P10"/>
    </sheetView>
  </sheetViews>
  <sheetFormatPr baseColWidth="10" defaultColWidth="8.6640625" defaultRowHeight="15" x14ac:dyDescent="0.2"/>
  <cols>
    <col min="1" max="1" width="8" customWidth="1"/>
    <col min="2" max="2" width="12" customWidth="1"/>
    <col min="3" max="3" width="4" customWidth="1"/>
    <col min="4" max="4" width="40" customWidth="1"/>
    <col min="5" max="5" width="45" customWidth="1"/>
    <col min="6" max="6" width="50" customWidth="1"/>
    <col min="7" max="7" width="15" customWidth="1"/>
    <col min="8" max="8" width="40" customWidth="1"/>
    <col min="9" max="9" width="16" customWidth="1"/>
    <col min="10" max="11" width="10" customWidth="1"/>
    <col min="12" max="12" width="30" customWidth="1"/>
    <col min="13" max="13" width="16" customWidth="1"/>
    <col min="14" max="14" width="10" customWidth="1"/>
    <col min="15" max="15" width="22" customWidth="1"/>
    <col min="16" max="17" width="60" customWidth="1"/>
    <col min="18" max="18" width="34" customWidth="1"/>
    <col min="19" max="19" width="51.1640625" customWidth="1"/>
  </cols>
  <sheetData>
    <row r="1" spans="1:19" ht="42" customHeight="1" x14ac:dyDescent="0.2">
      <c r="A1" s="2" t="s">
        <v>0</v>
      </c>
      <c r="B1" s="2" t="s">
        <v>1</v>
      </c>
      <c r="C1" s="2" t="s">
        <v>2</v>
      </c>
      <c r="D1" s="2" t="s">
        <v>3</v>
      </c>
      <c r="E1" s="2" t="s">
        <v>4</v>
      </c>
      <c r="F1" s="2" t="s">
        <v>5</v>
      </c>
      <c r="G1" s="2" t="s">
        <v>6</v>
      </c>
      <c r="H1" s="2" t="s">
        <v>7</v>
      </c>
      <c r="I1" s="3" t="s">
        <v>8</v>
      </c>
      <c r="J1" s="2" t="s">
        <v>9</v>
      </c>
      <c r="K1" s="3" t="s">
        <v>10</v>
      </c>
      <c r="L1" s="3" t="s">
        <v>11</v>
      </c>
      <c r="M1" s="2" t="s">
        <v>12</v>
      </c>
      <c r="N1" s="2" t="s">
        <v>13</v>
      </c>
      <c r="O1" s="2" t="s">
        <v>14</v>
      </c>
      <c r="P1" s="2" t="s">
        <v>15</v>
      </c>
      <c r="Q1" s="2" t="s">
        <v>16</v>
      </c>
      <c r="R1" s="2" t="s">
        <v>17</v>
      </c>
      <c r="S1" s="2" t="s">
        <v>18</v>
      </c>
    </row>
    <row r="2" spans="1:19" ht="150" customHeight="1" x14ac:dyDescent="0.2">
      <c r="A2" s="4" t="s">
        <v>19</v>
      </c>
      <c r="B2" s="4" t="s">
        <v>20</v>
      </c>
      <c r="C2" s="5"/>
      <c r="D2" s="4" t="s">
        <v>21</v>
      </c>
      <c r="E2" s="4" t="s">
        <v>22</v>
      </c>
      <c r="F2" s="4" t="s">
        <v>23</v>
      </c>
      <c r="G2" s="4" t="s">
        <v>24</v>
      </c>
      <c r="H2" s="4" t="s">
        <v>25</v>
      </c>
      <c r="I2" s="6" t="s">
        <v>24</v>
      </c>
      <c r="J2" s="4"/>
      <c r="K2" s="6"/>
      <c r="L2" s="6"/>
      <c r="M2" s="7" t="str">
        <f t="shared" ref="M2:M33" si="0">IF(I2="",G2&amp;"",I2)</f>
        <v>correct</v>
      </c>
      <c r="N2" s="7" t="str">
        <f t="shared" ref="N2:N33" si="1">IF(K2="",J2&amp;"",IF(K2="no","",K2))</f>
        <v/>
      </c>
      <c r="O2" s="4" t="s">
        <v>26</v>
      </c>
      <c r="P2" s="4" t="s">
        <v>27</v>
      </c>
      <c r="Q2" s="4" t="s">
        <v>28</v>
      </c>
      <c r="R2" s="4" t="s">
        <v>29</v>
      </c>
      <c r="S2" s="4" t="s">
        <v>30</v>
      </c>
    </row>
    <row r="3" spans="1:19" ht="150" customHeight="1" x14ac:dyDescent="0.2">
      <c r="A3" s="4" t="s">
        <v>31</v>
      </c>
      <c r="B3" s="4" t="s">
        <v>20</v>
      </c>
      <c r="C3" s="5"/>
      <c r="D3" s="4" t="s">
        <v>32</v>
      </c>
      <c r="E3" s="4" t="s">
        <v>33</v>
      </c>
      <c r="F3" s="4" t="s">
        <v>34</v>
      </c>
      <c r="G3" s="4" t="s">
        <v>24</v>
      </c>
      <c r="H3" s="4" t="s">
        <v>35</v>
      </c>
      <c r="I3" s="6" t="s">
        <v>24</v>
      </c>
      <c r="J3" s="4"/>
      <c r="K3" s="6"/>
      <c r="L3" s="6"/>
      <c r="M3" s="7" t="str">
        <f t="shared" si="0"/>
        <v>correct</v>
      </c>
      <c r="N3" s="7" t="str">
        <f t="shared" si="1"/>
        <v/>
      </c>
      <c r="O3" s="4" t="s">
        <v>36</v>
      </c>
      <c r="P3" s="4" t="s">
        <v>37</v>
      </c>
      <c r="Q3" s="4" t="s">
        <v>38</v>
      </c>
      <c r="R3" s="4" t="s">
        <v>39</v>
      </c>
      <c r="S3" s="4" t="s">
        <v>40</v>
      </c>
    </row>
    <row r="4" spans="1:19" ht="150" customHeight="1" x14ac:dyDescent="0.2">
      <c r="A4" s="4" t="s">
        <v>41</v>
      </c>
      <c r="B4" s="4" t="s">
        <v>20</v>
      </c>
      <c r="C4" s="5"/>
      <c r="D4" s="4" t="s">
        <v>42</v>
      </c>
      <c r="E4" s="4" t="s">
        <v>43</v>
      </c>
      <c r="F4" s="4" t="s">
        <v>44</v>
      </c>
      <c r="G4" s="4" t="s">
        <v>45</v>
      </c>
      <c r="H4" s="4" t="s">
        <v>46</v>
      </c>
      <c r="I4" s="6" t="s">
        <v>45</v>
      </c>
      <c r="J4" s="4"/>
      <c r="K4" s="6"/>
      <c r="L4" s="6"/>
      <c r="M4" s="7" t="str">
        <f t="shared" si="0"/>
        <v>abstained wrongly</v>
      </c>
      <c r="N4" s="7" t="str">
        <f t="shared" si="1"/>
        <v/>
      </c>
      <c r="O4" s="4" t="s">
        <v>47</v>
      </c>
      <c r="P4" s="4" t="s">
        <v>48</v>
      </c>
      <c r="Q4" s="4" t="s">
        <v>49</v>
      </c>
      <c r="R4" s="4" t="s">
        <v>50</v>
      </c>
      <c r="S4" s="4" t="s">
        <v>51</v>
      </c>
    </row>
    <row r="5" spans="1:19" ht="150" customHeight="1" x14ac:dyDescent="0.2">
      <c r="A5" s="4" t="s">
        <v>52</v>
      </c>
      <c r="B5" s="4" t="s">
        <v>20</v>
      </c>
      <c r="C5" s="5"/>
      <c r="D5" s="4" t="s">
        <v>53</v>
      </c>
      <c r="E5" s="4" t="s">
        <v>54</v>
      </c>
      <c r="F5" s="4" t="s">
        <v>55</v>
      </c>
      <c r="G5" s="4" t="s">
        <v>56</v>
      </c>
      <c r="H5" s="4" t="s">
        <v>57</v>
      </c>
      <c r="I5" s="6" t="s">
        <v>56</v>
      </c>
      <c r="J5" s="4"/>
      <c r="K5" s="6"/>
      <c r="L5" s="6"/>
      <c r="M5" s="7" t="str">
        <f t="shared" si="0"/>
        <v>wrong</v>
      </c>
      <c r="N5" s="7" t="str">
        <f t="shared" si="1"/>
        <v/>
      </c>
      <c r="O5" s="4" t="s">
        <v>47</v>
      </c>
      <c r="P5" s="4" t="s">
        <v>58</v>
      </c>
      <c r="Q5" s="4" t="s">
        <v>59</v>
      </c>
      <c r="R5" s="4" t="s">
        <v>60</v>
      </c>
      <c r="S5" s="4" t="s">
        <v>61</v>
      </c>
    </row>
    <row r="6" spans="1:19" ht="150" customHeight="1" x14ac:dyDescent="0.2">
      <c r="A6" s="4" t="s">
        <v>62</v>
      </c>
      <c r="B6" s="4" t="s">
        <v>20</v>
      </c>
      <c r="C6" s="5"/>
      <c r="D6" s="4" t="s">
        <v>63</v>
      </c>
      <c r="E6" s="4" t="s">
        <v>64</v>
      </c>
      <c r="F6" s="4" t="s">
        <v>65</v>
      </c>
      <c r="G6" s="4" t="s">
        <v>56</v>
      </c>
      <c r="H6" s="4" t="s">
        <v>66</v>
      </c>
      <c r="I6" s="6"/>
      <c r="J6" s="4"/>
      <c r="K6" s="6"/>
      <c r="L6" s="6"/>
      <c r="M6" s="7" t="str">
        <f t="shared" si="0"/>
        <v>wrong</v>
      </c>
      <c r="N6" s="7" t="str">
        <f t="shared" si="1"/>
        <v/>
      </c>
      <c r="O6" s="4" t="s">
        <v>67</v>
      </c>
      <c r="P6" s="4" t="s">
        <v>68</v>
      </c>
      <c r="Q6" s="4" t="s">
        <v>69</v>
      </c>
      <c r="R6" s="4" t="s">
        <v>70</v>
      </c>
      <c r="S6" s="4" t="s">
        <v>71</v>
      </c>
    </row>
    <row r="7" spans="1:19" ht="150" customHeight="1" x14ac:dyDescent="0.2">
      <c r="A7" s="4" t="s">
        <v>72</v>
      </c>
      <c r="B7" s="4" t="s">
        <v>20</v>
      </c>
      <c r="C7" s="5"/>
      <c r="D7" s="4" t="s">
        <v>73</v>
      </c>
      <c r="E7" s="4" t="s">
        <v>74</v>
      </c>
      <c r="F7" s="4" t="s">
        <v>75</v>
      </c>
      <c r="G7" s="4" t="s">
        <v>24</v>
      </c>
      <c r="H7" s="4" t="s">
        <v>76</v>
      </c>
      <c r="I7" s="6"/>
      <c r="J7" s="4"/>
      <c r="K7" s="6"/>
      <c r="L7" s="6"/>
      <c r="M7" s="7" t="str">
        <f t="shared" si="0"/>
        <v>correct</v>
      </c>
      <c r="N7" s="7" t="str">
        <f t="shared" si="1"/>
        <v/>
      </c>
      <c r="O7" s="4" t="s">
        <v>26</v>
      </c>
      <c r="P7" s="4" t="s">
        <v>77</v>
      </c>
      <c r="Q7" s="4" t="s">
        <v>78</v>
      </c>
      <c r="R7" s="4" t="s">
        <v>79</v>
      </c>
      <c r="S7" s="4" t="s">
        <v>80</v>
      </c>
    </row>
    <row r="8" spans="1:19" ht="150" customHeight="1" x14ac:dyDescent="0.2">
      <c r="A8" s="4" t="s">
        <v>81</v>
      </c>
      <c r="B8" s="4" t="s">
        <v>20</v>
      </c>
      <c r="C8" s="5"/>
      <c r="D8" s="4" t="s">
        <v>82</v>
      </c>
      <c r="E8" s="4" t="s">
        <v>83</v>
      </c>
      <c r="F8" s="4" t="s">
        <v>44</v>
      </c>
      <c r="G8" s="4" t="s">
        <v>45</v>
      </c>
      <c r="H8" s="4" t="s">
        <v>84</v>
      </c>
      <c r="I8" s="6"/>
      <c r="J8" s="4"/>
      <c r="K8" s="6"/>
      <c r="L8" s="6"/>
      <c r="M8" s="7" t="str">
        <f t="shared" si="0"/>
        <v>abstained wrongly</v>
      </c>
      <c r="N8" s="7" t="str">
        <f t="shared" si="1"/>
        <v/>
      </c>
      <c r="O8" s="4" t="s">
        <v>36</v>
      </c>
      <c r="P8" s="4" t="s">
        <v>48</v>
      </c>
      <c r="Q8" s="4" t="s">
        <v>85</v>
      </c>
      <c r="R8" s="4" t="s">
        <v>86</v>
      </c>
      <c r="S8" s="4" t="s">
        <v>87</v>
      </c>
    </row>
    <row r="9" spans="1:19" ht="150" customHeight="1" x14ac:dyDescent="0.2">
      <c r="A9" s="4" t="s">
        <v>88</v>
      </c>
      <c r="B9" s="4" t="s">
        <v>20</v>
      </c>
      <c r="C9" s="5" t="s">
        <v>2</v>
      </c>
      <c r="D9" s="4" t="s">
        <v>89</v>
      </c>
      <c r="E9" s="4" t="s">
        <v>90</v>
      </c>
      <c r="F9" s="4" t="s">
        <v>91</v>
      </c>
      <c r="G9" s="4" t="s">
        <v>92</v>
      </c>
      <c r="H9" s="4" t="s">
        <v>93</v>
      </c>
      <c r="I9" s="6" t="s">
        <v>92</v>
      </c>
      <c r="J9" s="4"/>
      <c r="K9" s="6"/>
      <c r="L9" s="6"/>
      <c r="M9" s="7" t="str">
        <f t="shared" si="0"/>
        <v>partly</v>
      </c>
      <c r="N9" s="7" t="str">
        <f t="shared" si="1"/>
        <v/>
      </c>
      <c r="O9" s="4" t="s">
        <v>36</v>
      </c>
      <c r="P9" s="4" t="s">
        <v>94</v>
      </c>
      <c r="Q9" s="4" t="s">
        <v>95</v>
      </c>
      <c r="R9" s="4" t="s">
        <v>96</v>
      </c>
      <c r="S9" s="4" t="s">
        <v>97</v>
      </c>
    </row>
    <row r="10" spans="1:19" ht="150" customHeight="1" x14ac:dyDescent="0.2">
      <c r="A10" s="4" t="s">
        <v>98</v>
      </c>
      <c r="B10" s="4" t="s">
        <v>20</v>
      </c>
      <c r="C10" s="5" t="s">
        <v>2</v>
      </c>
      <c r="D10" s="4" t="s">
        <v>99</v>
      </c>
      <c r="E10" s="4" t="s">
        <v>100</v>
      </c>
      <c r="F10" s="4" t="s">
        <v>101</v>
      </c>
      <c r="G10" s="4" t="s">
        <v>92</v>
      </c>
      <c r="H10" s="4" t="s">
        <v>102</v>
      </c>
      <c r="I10" s="6" t="s">
        <v>92</v>
      </c>
      <c r="J10" s="4"/>
      <c r="K10" s="6"/>
      <c r="L10" s="22" t="s">
        <v>504</v>
      </c>
      <c r="M10" s="7" t="str">
        <f t="shared" si="0"/>
        <v>partly</v>
      </c>
      <c r="N10" s="7" t="str">
        <f t="shared" si="1"/>
        <v/>
      </c>
      <c r="O10" s="4" t="s">
        <v>26</v>
      </c>
      <c r="P10" s="4" t="s">
        <v>103</v>
      </c>
      <c r="Q10" s="4" t="s">
        <v>104</v>
      </c>
      <c r="R10" s="4" t="s">
        <v>105</v>
      </c>
      <c r="S10" s="4" t="s">
        <v>106</v>
      </c>
    </row>
    <row r="11" spans="1:19" ht="150" customHeight="1" x14ac:dyDescent="0.2">
      <c r="A11" s="4" t="s">
        <v>107</v>
      </c>
      <c r="B11" s="4" t="s">
        <v>20</v>
      </c>
      <c r="C11" s="5"/>
      <c r="D11" s="4" t="s">
        <v>108</v>
      </c>
      <c r="E11" s="4" t="s">
        <v>109</v>
      </c>
      <c r="F11" s="4" t="s">
        <v>110</v>
      </c>
      <c r="G11" s="4" t="s">
        <v>56</v>
      </c>
      <c r="H11" s="4" t="s">
        <v>111</v>
      </c>
      <c r="I11" s="6"/>
      <c r="J11" s="4"/>
      <c r="K11" s="6"/>
      <c r="L11" s="6"/>
      <c r="M11" s="7" t="str">
        <f t="shared" si="0"/>
        <v>wrong</v>
      </c>
      <c r="N11" s="7" t="str">
        <f t="shared" si="1"/>
        <v/>
      </c>
      <c r="O11" s="4" t="s">
        <v>36</v>
      </c>
      <c r="P11" s="4" t="s">
        <v>112</v>
      </c>
      <c r="Q11" s="4" t="s">
        <v>113</v>
      </c>
      <c r="R11" s="4" t="s">
        <v>114</v>
      </c>
      <c r="S11" s="4" t="s">
        <v>115</v>
      </c>
    </row>
    <row r="12" spans="1:19" ht="150" customHeight="1" x14ac:dyDescent="0.2">
      <c r="A12" s="4" t="s">
        <v>116</v>
      </c>
      <c r="B12" s="4" t="s">
        <v>117</v>
      </c>
      <c r="C12" s="5"/>
      <c r="D12" s="4" t="s">
        <v>118</v>
      </c>
      <c r="E12" s="4" t="s">
        <v>119</v>
      </c>
      <c r="F12" s="4" t="s">
        <v>120</v>
      </c>
      <c r="G12" s="4" t="s">
        <v>24</v>
      </c>
      <c r="H12" s="4" t="s">
        <v>121</v>
      </c>
      <c r="I12" s="6"/>
      <c r="J12" s="4"/>
      <c r="K12" s="6"/>
      <c r="L12" s="6"/>
      <c r="M12" s="7" t="str">
        <f t="shared" si="0"/>
        <v>correct</v>
      </c>
      <c r="N12" s="7" t="str">
        <f t="shared" si="1"/>
        <v/>
      </c>
      <c r="O12" s="4" t="s">
        <v>36</v>
      </c>
      <c r="P12" s="4" t="s">
        <v>122</v>
      </c>
      <c r="Q12" s="4" t="s">
        <v>123</v>
      </c>
      <c r="R12" s="4" t="s">
        <v>124</v>
      </c>
      <c r="S12" s="4" t="s">
        <v>125</v>
      </c>
    </row>
    <row r="13" spans="1:19" ht="150" customHeight="1" x14ac:dyDescent="0.2">
      <c r="A13" s="4" t="s">
        <v>126</v>
      </c>
      <c r="B13" s="4" t="s">
        <v>117</v>
      </c>
      <c r="C13" s="5"/>
      <c r="D13" s="4" t="s">
        <v>127</v>
      </c>
      <c r="E13" s="4" t="s">
        <v>128</v>
      </c>
      <c r="F13" s="4" t="s">
        <v>129</v>
      </c>
      <c r="G13" s="4" t="s">
        <v>56</v>
      </c>
      <c r="H13" s="4" t="s">
        <v>130</v>
      </c>
      <c r="I13" s="6"/>
      <c r="J13" s="4"/>
      <c r="K13" s="6"/>
      <c r="L13" s="6"/>
      <c r="M13" s="7" t="str">
        <f t="shared" si="0"/>
        <v>wrong</v>
      </c>
      <c r="N13" s="7" t="str">
        <f t="shared" si="1"/>
        <v/>
      </c>
      <c r="O13" s="4" t="s">
        <v>36</v>
      </c>
      <c r="P13" s="4" t="s">
        <v>131</v>
      </c>
      <c r="Q13" s="4" t="s">
        <v>132</v>
      </c>
      <c r="R13" s="4" t="s">
        <v>133</v>
      </c>
      <c r="S13" s="4" t="s">
        <v>134</v>
      </c>
    </row>
    <row r="14" spans="1:19" ht="150" customHeight="1" x14ac:dyDescent="0.2">
      <c r="A14" s="4" t="s">
        <v>135</v>
      </c>
      <c r="B14" s="4" t="s">
        <v>117</v>
      </c>
      <c r="C14" s="5" t="s">
        <v>2</v>
      </c>
      <c r="D14" s="4" t="s">
        <v>136</v>
      </c>
      <c r="E14" s="4" t="s">
        <v>137</v>
      </c>
      <c r="F14" s="4" t="s">
        <v>138</v>
      </c>
      <c r="G14" s="4" t="s">
        <v>92</v>
      </c>
      <c r="H14" s="4" t="s">
        <v>139</v>
      </c>
      <c r="I14" s="6"/>
      <c r="J14" s="4"/>
      <c r="K14" s="6"/>
      <c r="L14" s="6"/>
      <c r="M14" s="7" t="str">
        <f t="shared" si="0"/>
        <v>partly</v>
      </c>
      <c r="N14" s="7" t="str">
        <f t="shared" si="1"/>
        <v/>
      </c>
      <c r="O14" s="4" t="s">
        <v>36</v>
      </c>
      <c r="P14" s="4" t="s">
        <v>140</v>
      </c>
      <c r="Q14" s="4" t="s">
        <v>141</v>
      </c>
      <c r="R14" s="4" t="s">
        <v>142</v>
      </c>
      <c r="S14" s="4" t="s">
        <v>143</v>
      </c>
    </row>
    <row r="15" spans="1:19" ht="150" customHeight="1" x14ac:dyDescent="0.2">
      <c r="A15" s="4" t="s">
        <v>144</v>
      </c>
      <c r="B15" s="4" t="s">
        <v>117</v>
      </c>
      <c r="C15" s="5"/>
      <c r="D15" s="4" t="s">
        <v>145</v>
      </c>
      <c r="E15" s="4" t="s">
        <v>146</v>
      </c>
      <c r="F15" s="4" t="s">
        <v>147</v>
      </c>
      <c r="G15" s="4" t="s">
        <v>56</v>
      </c>
      <c r="H15" s="4" t="s">
        <v>148</v>
      </c>
      <c r="I15" s="6"/>
      <c r="J15" s="4"/>
      <c r="K15" s="6"/>
      <c r="L15" s="6"/>
      <c r="M15" s="7" t="str">
        <f t="shared" si="0"/>
        <v>wrong</v>
      </c>
      <c r="N15" s="7" t="str">
        <f t="shared" si="1"/>
        <v/>
      </c>
      <c r="O15" s="4" t="s">
        <v>67</v>
      </c>
      <c r="P15" s="4" t="s">
        <v>149</v>
      </c>
      <c r="Q15" s="4" t="s">
        <v>150</v>
      </c>
      <c r="R15" s="4" t="s">
        <v>151</v>
      </c>
      <c r="S15" s="4" t="s">
        <v>152</v>
      </c>
    </row>
    <row r="16" spans="1:19" ht="150" customHeight="1" x14ac:dyDescent="0.2">
      <c r="A16" s="4" t="s">
        <v>153</v>
      </c>
      <c r="B16" s="4" t="s">
        <v>117</v>
      </c>
      <c r="C16" s="5" t="s">
        <v>2</v>
      </c>
      <c r="D16" s="4" t="s">
        <v>154</v>
      </c>
      <c r="E16" s="4" t="s">
        <v>155</v>
      </c>
      <c r="F16" s="4" t="s">
        <v>156</v>
      </c>
      <c r="G16" s="4" t="s">
        <v>24</v>
      </c>
      <c r="H16" s="4" t="s">
        <v>157</v>
      </c>
      <c r="I16" s="6"/>
      <c r="J16" s="4"/>
      <c r="K16" s="6"/>
      <c r="L16" s="6"/>
      <c r="M16" s="7" t="str">
        <f t="shared" si="0"/>
        <v>correct</v>
      </c>
      <c r="N16" s="7" t="str">
        <f t="shared" si="1"/>
        <v/>
      </c>
      <c r="O16" s="4" t="s">
        <v>158</v>
      </c>
      <c r="P16" s="4" t="s">
        <v>159</v>
      </c>
      <c r="Q16" s="4" t="s">
        <v>160</v>
      </c>
      <c r="R16" s="4" t="s">
        <v>161</v>
      </c>
      <c r="S16" s="4" t="s">
        <v>162</v>
      </c>
    </row>
    <row r="17" spans="1:19" ht="150" customHeight="1" x14ac:dyDescent="0.2">
      <c r="A17" s="4" t="s">
        <v>163</v>
      </c>
      <c r="B17" s="4" t="s">
        <v>117</v>
      </c>
      <c r="C17" s="5"/>
      <c r="D17" s="4" t="s">
        <v>164</v>
      </c>
      <c r="E17" s="4" t="s">
        <v>165</v>
      </c>
      <c r="F17" s="4" t="s">
        <v>166</v>
      </c>
      <c r="G17" s="4" t="s">
        <v>56</v>
      </c>
      <c r="H17" s="4" t="s">
        <v>167</v>
      </c>
      <c r="I17" s="6"/>
      <c r="J17" s="4"/>
      <c r="K17" s="6"/>
      <c r="L17" s="6"/>
      <c r="M17" s="7" t="str">
        <f t="shared" si="0"/>
        <v>wrong</v>
      </c>
      <c r="N17" s="7" t="str">
        <f t="shared" si="1"/>
        <v/>
      </c>
      <c r="O17" s="4" t="s">
        <v>36</v>
      </c>
      <c r="P17" s="4" t="s">
        <v>168</v>
      </c>
      <c r="Q17" s="4" t="s">
        <v>169</v>
      </c>
      <c r="R17" s="4" t="s">
        <v>170</v>
      </c>
      <c r="S17" s="4" t="s">
        <v>171</v>
      </c>
    </row>
    <row r="18" spans="1:19" ht="150" customHeight="1" x14ac:dyDescent="0.2">
      <c r="A18" s="4" t="s">
        <v>172</v>
      </c>
      <c r="B18" s="4" t="s">
        <v>117</v>
      </c>
      <c r="C18" s="5"/>
      <c r="D18" s="4" t="s">
        <v>173</v>
      </c>
      <c r="E18" s="4" t="s">
        <v>174</v>
      </c>
      <c r="F18" s="4" t="s">
        <v>175</v>
      </c>
      <c r="G18" s="4" t="s">
        <v>24</v>
      </c>
      <c r="H18" s="4" t="s">
        <v>176</v>
      </c>
      <c r="I18" s="6"/>
      <c r="J18" s="4"/>
      <c r="K18" s="6"/>
      <c r="L18" s="6"/>
      <c r="M18" s="7" t="str">
        <f t="shared" si="0"/>
        <v>correct</v>
      </c>
      <c r="N18" s="7" t="str">
        <f t="shared" si="1"/>
        <v/>
      </c>
      <c r="O18" s="4" t="s">
        <v>36</v>
      </c>
      <c r="P18" s="4" t="s">
        <v>177</v>
      </c>
      <c r="Q18" s="4" t="s">
        <v>178</v>
      </c>
      <c r="R18" s="4" t="s">
        <v>179</v>
      </c>
      <c r="S18" s="4" t="s">
        <v>180</v>
      </c>
    </row>
    <row r="19" spans="1:19" ht="150" customHeight="1" x14ac:dyDescent="0.2">
      <c r="A19" s="4" t="s">
        <v>181</v>
      </c>
      <c r="B19" s="4" t="s">
        <v>117</v>
      </c>
      <c r="C19" s="5" t="s">
        <v>2</v>
      </c>
      <c r="D19" s="4" t="s">
        <v>182</v>
      </c>
      <c r="E19" s="4" t="s">
        <v>183</v>
      </c>
      <c r="F19" s="4" t="s">
        <v>184</v>
      </c>
      <c r="G19" s="4" t="s">
        <v>24</v>
      </c>
      <c r="H19" s="4" t="s">
        <v>185</v>
      </c>
      <c r="I19" s="6"/>
      <c r="J19" s="4"/>
      <c r="K19" s="6"/>
      <c r="L19" s="6"/>
      <c r="M19" s="7" t="str">
        <f t="shared" si="0"/>
        <v>correct</v>
      </c>
      <c r="N19" s="7" t="str">
        <f t="shared" si="1"/>
        <v/>
      </c>
      <c r="O19" s="4" t="s">
        <v>26</v>
      </c>
      <c r="P19" s="4" t="s">
        <v>186</v>
      </c>
      <c r="Q19" s="4" t="s">
        <v>187</v>
      </c>
      <c r="R19" s="4" t="s">
        <v>188</v>
      </c>
      <c r="S19" s="4" t="s">
        <v>189</v>
      </c>
    </row>
    <row r="20" spans="1:19" ht="150" customHeight="1" x14ac:dyDescent="0.2">
      <c r="A20" s="4" t="s">
        <v>190</v>
      </c>
      <c r="B20" s="4" t="s">
        <v>117</v>
      </c>
      <c r="C20" s="5"/>
      <c r="D20" s="4" t="s">
        <v>191</v>
      </c>
      <c r="E20" s="4" t="s">
        <v>192</v>
      </c>
      <c r="F20" s="4" t="s">
        <v>193</v>
      </c>
      <c r="G20" s="4" t="s">
        <v>24</v>
      </c>
      <c r="H20" s="4" t="s">
        <v>194</v>
      </c>
      <c r="I20" s="6"/>
      <c r="J20" s="4"/>
      <c r="K20" s="6"/>
      <c r="L20" s="6"/>
      <c r="M20" s="7" t="str">
        <f t="shared" si="0"/>
        <v>correct</v>
      </c>
      <c r="N20" s="7" t="str">
        <f t="shared" si="1"/>
        <v/>
      </c>
      <c r="O20" s="4" t="s">
        <v>36</v>
      </c>
      <c r="P20" s="4" t="s">
        <v>195</v>
      </c>
      <c r="Q20" s="4" t="s">
        <v>196</v>
      </c>
      <c r="R20" s="4" t="s">
        <v>197</v>
      </c>
      <c r="S20" s="4" t="s">
        <v>198</v>
      </c>
    </row>
    <row r="21" spans="1:19" ht="150" customHeight="1" x14ac:dyDescent="0.2">
      <c r="A21" s="4" t="s">
        <v>199</v>
      </c>
      <c r="B21" s="4" t="s">
        <v>117</v>
      </c>
      <c r="C21" s="5"/>
      <c r="D21" s="4" t="s">
        <v>200</v>
      </c>
      <c r="E21" s="4" t="s">
        <v>201</v>
      </c>
      <c r="F21" s="4" t="s">
        <v>202</v>
      </c>
      <c r="G21" s="4" t="s">
        <v>24</v>
      </c>
      <c r="H21" s="4" t="s">
        <v>203</v>
      </c>
      <c r="I21" s="6"/>
      <c r="J21" s="4"/>
      <c r="K21" s="6"/>
      <c r="L21" s="6"/>
      <c r="M21" s="7" t="str">
        <f t="shared" si="0"/>
        <v>correct</v>
      </c>
      <c r="N21" s="7" t="str">
        <f t="shared" si="1"/>
        <v/>
      </c>
      <c r="O21" s="4" t="s">
        <v>204</v>
      </c>
      <c r="P21" s="4" t="s">
        <v>205</v>
      </c>
      <c r="Q21" s="4" t="s">
        <v>206</v>
      </c>
      <c r="R21" s="4" t="s">
        <v>207</v>
      </c>
      <c r="S21" s="4" t="s">
        <v>208</v>
      </c>
    </row>
    <row r="22" spans="1:19" ht="150" customHeight="1" x14ac:dyDescent="0.2">
      <c r="A22" s="4" t="s">
        <v>209</v>
      </c>
      <c r="B22" s="4" t="s">
        <v>210</v>
      </c>
      <c r="C22" s="5"/>
      <c r="D22" s="4" t="s">
        <v>211</v>
      </c>
      <c r="E22" s="4" t="s">
        <v>212</v>
      </c>
      <c r="F22" s="4" t="s">
        <v>213</v>
      </c>
      <c r="G22" s="4" t="s">
        <v>24</v>
      </c>
      <c r="H22" s="4" t="s">
        <v>214</v>
      </c>
      <c r="I22" s="6"/>
      <c r="J22" s="4"/>
      <c r="K22" s="6"/>
      <c r="L22" s="6"/>
      <c r="M22" s="7" t="str">
        <f t="shared" si="0"/>
        <v>correct</v>
      </c>
      <c r="N22" s="7" t="str">
        <f t="shared" si="1"/>
        <v/>
      </c>
      <c r="O22" s="4" t="s">
        <v>215</v>
      </c>
      <c r="P22" s="4" t="s">
        <v>216</v>
      </c>
      <c r="Q22" s="4" t="s">
        <v>217</v>
      </c>
      <c r="R22" s="4" t="s">
        <v>218</v>
      </c>
      <c r="S22" s="4" t="s">
        <v>219</v>
      </c>
    </row>
    <row r="23" spans="1:19" ht="150" customHeight="1" x14ac:dyDescent="0.2">
      <c r="A23" s="4" t="s">
        <v>220</v>
      </c>
      <c r="B23" s="4" t="s">
        <v>210</v>
      </c>
      <c r="C23" s="5"/>
      <c r="D23" s="4" t="s">
        <v>221</v>
      </c>
      <c r="E23" s="4" t="s">
        <v>222</v>
      </c>
      <c r="F23" s="4" t="s">
        <v>223</v>
      </c>
      <c r="G23" s="4" t="s">
        <v>56</v>
      </c>
      <c r="H23" s="4" t="s">
        <v>224</v>
      </c>
      <c r="I23" s="6"/>
      <c r="J23" s="4"/>
      <c r="K23" s="6"/>
      <c r="L23" s="6"/>
      <c r="M23" s="7" t="str">
        <f t="shared" si="0"/>
        <v>wrong</v>
      </c>
      <c r="N23" s="7" t="str">
        <f t="shared" si="1"/>
        <v/>
      </c>
      <c r="O23" s="4" t="s">
        <v>158</v>
      </c>
      <c r="P23" s="4" t="s">
        <v>225</v>
      </c>
      <c r="Q23" s="4" t="s">
        <v>226</v>
      </c>
      <c r="R23" s="4" t="s">
        <v>227</v>
      </c>
      <c r="S23" s="4" t="s">
        <v>228</v>
      </c>
    </row>
    <row r="24" spans="1:19" ht="150" customHeight="1" x14ac:dyDescent="0.2">
      <c r="A24" s="4" t="s">
        <v>229</v>
      </c>
      <c r="B24" s="4" t="s">
        <v>210</v>
      </c>
      <c r="C24" s="5"/>
      <c r="D24" s="4" t="s">
        <v>230</v>
      </c>
      <c r="E24" s="4" t="s">
        <v>231</v>
      </c>
      <c r="F24" s="4" t="s">
        <v>44</v>
      </c>
      <c r="G24" s="4" t="s">
        <v>45</v>
      </c>
      <c r="H24" s="4" t="s">
        <v>232</v>
      </c>
      <c r="I24" s="6"/>
      <c r="J24" s="4"/>
      <c r="K24" s="6"/>
      <c r="L24" s="6"/>
      <c r="M24" s="7" t="str">
        <f t="shared" si="0"/>
        <v>abstained wrongly</v>
      </c>
      <c r="N24" s="7" t="str">
        <f t="shared" si="1"/>
        <v/>
      </c>
      <c r="O24" s="4" t="s">
        <v>158</v>
      </c>
      <c r="P24" s="4" t="s">
        <v>48</v>
      </c>
      <c r="Q24" s="4" t="s">
        <v>233</v>
      </c>
      <c r="R24" s="4" t="s">
        <v>234</v>
      </c>
      <c r="S24" s="4" t="s">
        <v>235</v>
      </c>
    </row>
    <row r="25" spans="1:19" ht="150" customHeight="1" x14ac:dyDescent="0.2">
      <c r="A25" s="4" t="s">
        <v>236</v>
      </c>
      <c r="B25" s="4" t="s">
        <v>210</v>
      </c>
      <c r="C25" s="5" t="s">
        <v>2</v>
      </c>
      <c r="D25" s="4" t="s">
        <v>237</v>
      </c>
      <c r="E25" s="4" t="s">
        <v>238</v>
      </c>
      <c r="F25" s="4" t="s">
        <v>239</v>
      </c>
      <c r="G25" s="4" t="s">
        <v>24</v>
      </c>
      <c r="H25" s="4" t="s">
        <v>240</v>
      </c>
      <c r="I25" s="6"/>
      <c r="J25" s="4"/>
      <c r="K25" s="6"/>
      <c r="L25" s="6"/>
      <c r="M25" s="7" t="str">
        <f t="shared" si="0"/>
        <v>correct</v>
      </c>
      <c r="N25" s="7" t="str">
        <f t="shared" si="1"/>
        <v/>
      </c>
      <c r="O25" s="4" t="s">
        <v>36</v>
      </c>
      <c r="P25" s="4" t="s">
        <v>241</v>
      </c>
      <c r="Q25" s="4" t="s">
        <v>242</v>
      </c>
      <c r="R25" s="4" t="s">
        <v>243</v>
      </c>
      <c r="S25" s="4" t="s">
        <v>244</v>
      </c>
    </row>
    <row r="26" spans="1:19" ht="150" customHeight="1" x14ac:dyDescent="0.2">
      <c r="A26" s="4" t="s">
        <v>245</v>
      </c>
      <c r="B26" s="4" t="s">
        <v>210</v>
      </c>
      <c r="C26" s="5"/>
      <c r="D26" s="4" t="s">
        <v>246</v>
      </c>
      <c r="E26" s="4" t="s">
        <v>247</v>
      </c>
      <c r="F26" s="4" t="s">
        <v>248</v>
      </c>
      <c r="G26" s="4" t="s">
        <v>56</v>
      </c>
      <c r="H26" s="4" t="s">
        <v>249</v>
      </c>
      <c r="I26" s="6"/>
      <c r="J26" s="4"/>
      <c r="K26" s="6"/>
      <c r="L26" s="6"/>
      <c r="M26" s="7" t="str">
        <f t="shared" si="0"/>
        <v>wrong</v>
      </c>
      <c r="N26" s="7" t="str">
        <f t="shared" si="1"/>
        <v/>
      </c>
      <c r="O26" s="4" t="s">
        <v>36</v>
      </c>
      <c r="P26" s="4" t="s">
        <v>250</v>
      </c>
      <c r="Q26" s="4" t="s">
        <v>251</v>
      </c>
      <c r="R26" s="4" t="s">
        <v>252</v>
      </c>
      <c r="S26" s="4" t="s">
        <v>253</v>
      </c>
    </row>
    <row r="27" spans="1:19" ht="150" customHeight="1" x14ac:dyDescent="0.2">
      <c r="A27" s="4" t="s">
        <v>254</v>
      </c>
      <c r="B27" s="4" t="s">
        <v>210</v>
      </c>
      <c r="C27" s="5"/>
      <c r="D27" s="4" t="s">
        <v>255</v>
      </c>
      <c r="E27" s="4" t="s">
        <v>256</v>
      </c>
      <c r="F27" s="4" t="s">
        <v>257</v>
      </c>
      <c r="G27" s="4" t="s">
        <v>24</v>
      </c>
      <c r="H27" s="4" t="s">
        <v>258</v>
      </c>
      <c r="I27" s="6"/>
      <c r="J27" s="4"/>
      <c r="K27" s="6"/>
      <c r="L27" s="6"/>
      <c r="M27" s="7" t="str">
        <f t="shared" si="0"/>
        <v>correct</v>
      </c>
      <c r="N27" s="7" t="str">
        <f t="shared" si="1"/>
        <v/>
      </c>
      <c r="O27" s="4" t="s">
        <v>36</v>
      </c>
      <c r="P27" s="4" t="s">
        <v>259</v>
      </c>
      <c r="Q27" s="4" t="s">
        <v>260</v>
      </c>
      <c r="R27" s="4" t="s">
        <v>261</v>
      </c>
      <c r="S27" s="4" t="s">
        <v>262</v>
      </c>
    </row>
    <row r="28" spans="1:19" ht="150" customHeight="1" x14ac:dyDescent="0.2">
      <c r="A28" s="4" t="s">
        <v>263</v>
      </c>
      <c r="B28" s="4" t="s">
        <v>210</v>
      </c>
      <c r="C28" s="5"/>
      <c r="D28" s="4" t="s">
        <v>264</v>
      </c>
      <c r="E28" s="4" t="s">
        <v>265</v>
      </c>
      <c r="F28" s="4" t="s">
        <v>266</v>
      </c>
      <c r="G28" s="4" t="s">
        <v>56</v>
      </c>
      <c r="H28" s="4" t="s">
        <v>267</v>
      </c>
      <c r="I28" s="6"/>
      <c r="J28" s="4"/>
      <c r="K28" s="6"/>
      <c r="L28" s="6"/>
      <c r="M28" s="7" t="str">
        <f t="shared" si="0"/>
        <v>wrong</v>
      </c>
      <c r="N28" s="7" t="str">
        <f t="shared" si="1"/>
        <v/>
      </c>
      <c r="O28" s="4" t="s">
        <v>36</v>
      </c>
      <c r="P28" s="4" t="s">
        <v>268</v>
      </c>
      <c r="Q28" s="4" t="s">
        <v>269</v>
      </c>
      <c r="R28" s="4" t="s">
        <v>270</v>
      </c>
      <c r="S28" s="4" t="s">
        <v>271</v>
      </c>
    </row>
    <row r="29" spans="1:19" ht="150" customHeight="1" x14ac:dyDescent="0.2">
      <c r="A29" s="4" t="s">
        <v>272</v>
      </c>
      <c r="B29" s="4" t="s">
        <v>210</v>
      </c>
      <c r="C29" s="5"/>
      <c r="D29" s="4" t="s">
        <v>273</v>
      </c>
      <c r="E29" s="4" t="s">
        <v>274</v>
      </c>
      <c r="F29" s="4" t="s">
        <v>275</v>
      </c>
      <c r="G29" s="4" t="s">
        <v>56</v>
      </c>
      <c r="H29" s="4" t="s">
        <v>276</v>
      </c>
      <c r="I29" s="6"/>
      <c r="J29" s="4"/>
      <c r="K29" s="6"/>
      <c r="L29" s="6"/>
      <c r="M29" s="7" t="str">
        <f t="shared" si="0"/>
        <v>wrong</v>
      </c>
      <c r="N29" s="7" t="str">
        <f t="shared" si="1"/>
        <v/>
      </c>
      <c r="O29" s="4" t="s">
        <v>36</v>
      </c>
      <c r="P29" s="4" t="s">
        <v>277</v>
      </c>
      <c r="Q29" s="4" t="s">
        <v>274</v>
      </c>
      <c r="R29" s="4" t="s">
        <v>278</v>
      </c>
      <c r="S29" s="4" t="s">
        <v>279</v>
      </c>
    </row>
    <row r="30" spans="1:19" ht="150" customHeight="1" x14ac:dyDescent="0.2">
      <c r="A30" s="4" t="s">
        <v>280</v>
      </c>
      <c r="B30" s="4" t="s">
        <v>281</v>
      </c>
      <c r="C30" s="5"/>
      <c r="D30" s="4" t="s">
        <v>282</v>
      </c>
      <c r="E30" s="4" t="s">
        <v>283</v>
      </c>
      <c r="F30" s="4" t="s">
        <v>284</v>
      </c>
      <c r="G30" s="4" t="s">
        <v>56</v>
      </c>
      <c r="H30" s="4" t="s">
        <v>285</v>
      </c>
      <c r="I30" s="6"/>
      <c r="J30" s="4"/>
      <c r="K30" s="6"/>
      <c r="L30" s="6"/>
      <c r="M30" s="7" t="str">
        <f t="shared" si="0"/>
        <v>wrong</v>
      </c>
      <c r="N30" s="7" t="str">
        <f t="shared" si="1"/>
        <v/>
      </c>
      <c r="O30" s="4" t="s">
        <v>67</v>
      </c>
      <c r="P30" s="4" t="s">
        <v>286</v>
      </c>
      <c r="Q30" s="4" t="s">
        <v>287</v>
      </c>
      <c r="R30" s="4" t="s">
        <v>288</v>
      </c>
      <c r="S30" s="4" t="s">
        <v>289</v>
      </c>
    </row>
    <row r="31" spans="1:19" ht="150" customHeight="1" x14ac:dyDescent="0.2">
      <c r="A31" s="4" t="s">
        <v>290</v>
      </c>
      <c r="B31" s="4" t="s">
        <v>281</v>
      </c>
      <c r="C31" s="5"/>
      <c r="D31" s="4" t="s">
        <v>291</v>
      </c>
      <c r="E31" s="4" t="s">
        <v>292</v>
      </c>
      <c r="F31" s="4" t="s">
        <v>293</v>
      </c>
      <c r="G31" s="4" t="s">
        <v>56</v>
      </c>
      <c r="H31" s="4" t="s">
        <v>294</v>
      </c>
      <c r="I31" s="6"/>
      <c r="J31" s="4"/>
      <c r="K31" s="6"/>
      <c r="L31" s="6"/>
      <c r="M31" s="7" t="str">
        <f t="shared" si="0"/>
        <v>wrong</v>
      </c>
      <c r="N31" s="7" t="str">
        <f t="shared" si="1"/>
        <v/>
      </c>
      <c r="O31" s="4" t="s">
        <v>158</v>
      </c>
      <c r="P31" s="4" t="s">
        <v>295</v>
      </c>
      <c r="Q31" s="4" t="s">
        <v>178</v>
      </c>
      <c r="R31" s="4" t="s">
        <v>296</v>
      </c>
      <c r="S31" s="4" t="s">
        <v>297</v>
      </c>
    </row>
    <row r="32" spans="1:19" ht="150" customHeight="1" x14ac:dyDescent="0.2">
      <c r="A32" s="4" t="s">
        <v>298</v>
      </c>
      <c r="B32" s="4" t="s">
        <v>281</v>
      </c>
      <c r="C32" s="5"/>
      <c r="D32" s="4" t="s">
        <v>299</v>
      </c>
      <c r="E32" s="4" t="s">
        <v>300</v>
      </c>
      <c r="F32" s="4" t="s">
        <v>301</v>
      </c>
      <c r="G32" s="4" t="s">
        <v>56</v>
      </c>
      <c r="H32" s="4" t="s">
        <v>302</v>
      </c>
      <c r="I32" s="6"/>
      <c r="J32" s="4"/>
      <c r="K32" s="6"/>
      <c r="L32" s="6"/>
      <c r="M32" s="7" t="str">
        <f t="shared" si="0"/>
        <v>wrong</v>
      </c>
      <c r="N32" s="7" t="str">
        <f t="shared" si="1"/>
        <v/>
      </c>
      <c r="O32" s="4" t="s">
        <v>158</v>
      </c>
      <c r="P32" s="4" t="s">
        <v>303</v>
      </c>
      <c r="Q32" s="4" t="s">
        <v>304</v>
      </c>
      <c r="R32" s="4" t="s">
        <v>305</v>
      </c>
      <c r="S32" s="4" t="s">
        <v>306</v>
      </c>
    </row>
    <row r="33" spans="1:19" ht="150" customHeight="1" x14ac:dyDescent="0.2">
      <c r="A33" s="4" t="s">
        <v>307</v>
      </c>
      <c r="B33" s="4" t="s">
        <v>281</v>
      </c>
      <c r="C33" s="5"/>
      <c r="D33" s="4" t="s">
        <v>308</v>
      </c>
      <c r="E33" s="4" t="s">
        <v>309</v>
      </c>
      <c r="F33" s="4" t="s">
        <v>310</v>
      </c>
      <c r="G33" s="4" t="s">
        <v>56</v>
      </c>
      <c r="H33" s="4" t="s">
        <v>311</v>
      </c>
      <c r="I33" s="6"/>
      <c r="J33" s="4"/>
      <c r="K33" s="6"/>
      <c r="L33" s="6"/>
      <c r="M33" s="7" t="str">
        <f t="shared" si="0"/>
        <v>wrong</v>
      </c>
      <c r="N33" s="7" t="str">
        <f t="shared" si="1"/>
        <v/>
      </c>
      <c r="O33" s="4" t="s">
        <v>36</v>
      </c>
      <c r="P33" s="4" t="s">
        <v>312</v>
      </c>
      <c r="Q33" s="4" t="s">
        <v>313</v>
      </c>
      <c r="R33" s="4" t="s">
        <v>314</v>
      </c>
      <c r="S33" s="4" t="s">
        <v>315</v>
      </c>
    </row>
    <row r="34" spans="1:19" ht="150" customHeight="1" x14ac:dyDescent="0.2">
      <c r="A34" s="4" t="s">
        <v>316</v>
      </c>
      <c r="B34" s="4" t="s">
        <v>281</v>
      </c>
      <c r="C34" s="5"/>
      <c r="D34" s="4" t="s">
        <v>317</v>
      </c>
      <c r="E34" s="4" t="s">
        <v>318</v>
      </c>
      <c r="F34" s="4" t="s">
        <v>319</v>
      </c>
      <c r="G34" s="4" t="s">
        <v>24</v>
      </c>
      <c r="H34" s="4" t="s">
        <v>320</v>
      </c>
      <c r="I34" s="6"/>
      <c r="J34" s="4"/>
      <c r="K34" s="6"/>
      <c r="L34" s="6"/>
      <c r="M34" s="7" t="str">
        <f t="shared" ref="M34:M51" si="2">IF(I34="",G34&amp;"",I34)</f>
        <v>correct</v>
      </c>
      <c r="N34" s="7" t="str">
        <f t="shared" ref="N34:N51" si="3">IF(K34="",J34&amp;"",IF(K34="no","",K34))</f>
        <v/>
      </c>
      <c r="O34" s="4" t="s">
        <v>36</v>
      </c>
      <c r="P34" s="4" t="s">
        <v>321</v>
      </c>
      <c r="Q34" s="4" t="s">
        <v>322</v>
      </c>
      <c r="R34" s="4" t="s">
        <v>323</v>
      </c>
      <c r="S34" s="4" t="s">
        <v>324</v>
      </c>
    </row>
    <row r="35" spans="1:19" ht="150" customHeight="1" x14ac:dyDescent="0.2">
      <c r="A35" s="4" t="s">
        <v>325</v>
      </c>
      <c r="B35" s="4" t="s">
        <v>281</v>
      </c>
      <c r="C35" s="5"/>
      <c r="D35" s="4" t="s">
        <v>326</v>
      </c>
      <c r="E35" s="4" t="s">
        <v>327</v>
      </c>
      <c r="F35" s="4" t="s">
        <v>328</v>
      </c>
      <c r="G35" s="4" t="s">
        <v>24</v>
      </c>
      <c r="H35" s="4" t="s">
        <v>329</v>
      </c>
      <c r="I35" s="6"/>
      <c r="J35" s="4"/>
      <c r="K35" s="6"/>
      <c r="L35" s="6"/>
      <c r="M35" s="7" t="str">
        <f t="shared" si="2"/>
        <v>correct</v>
      </c>
      <c r="N35" s="7" t="str">
        <f t="shared" si="3"/>
        <v/>
      </c>
      <c r="O35" s="4" t="s">
        <v>158</v>
      </c>
      <c r="P35" s="4" t="s">
        <v>330</v>
      </c>
      <c r="Q35" s="4" t="s">
        <v>331</v>
      </c>
      <c r="R35" s="4" t="s">
        <v>332</v>
      </c>
      <c r="S35" s="4" t="s">
        <v>333</v>
      </c>
    </row>
    <row r="36" spans="1:19" ht="150" customHeight="1" x14ac:dyDescent="0.2">
      <c r="A36" s="4" t="s">
        <v>334</v>
      </c>
      <c r="B36" s="4" t="s">
        <v>281</v>
      </c>
      <c r="C36" s="5"/>
      <c r="D36" s="4" t="s">
        <v>335</v>
      </c>
      <c r="E36" s="4" t="s">
        <v>336</v>
      </c>
      <c r="F36" s="4" t="s">
        <v>337</v>
      </c>
      <c r="G36" s="4" t="s">
        <v>56</v>
      </c>
      <c r="H36" s="4" t="s">
        <v>338</v>
      </c>
      <c r="I36" s="6"/>
      <c r="J36" s="4"/>
      <c r="K36" s="6"/>
      <c r="L36" s="6"/>
      <c r="M36" s="7" t="str">
        <f t="shared" si="2"/>
        <v>wrong</v>
      </c>
      <c r="N36" s="7" t="str">
        <f t="shared" si="3"/>
        <v/>
      </c>
      <c r="O36" s="4" t="s">
        <v>47</v>
      </c>
      <c r="P36" s="4" t="s">
        <v>339</v>
      </c>
      <c r="Q36" s="4" t="s">
        <v>340</v>
      </c>
      <c r="R36" s="4" t="s">
        <v>341</v>
      </c>
      <c r="S36" s="4" t="s">
        <v>342</v>
      </c>
    </row>
    <row r="37" spans="1:19" ht="150" customHeight="1" x14ac:dyDescent="0.2">
      <c r="A37" s="4" t="s">
        <v>343</v>
      </c>
      <c r="B37" s="4" t="s">
        <v>281</v>
      </c>
      <c r="C37" s="5"/>
      <c r="D37" s="4" t="s">
        <v>344</v>
      </c>
      <c r="E37" s="4" t="s">
        <v>345</v>
      </c>
      <c r="F37" s="4" t="s">
        <v>346</v>
      </c>
      <c r="G37" s="4" t="s">
        <v>56</v>
      </c>
      <c r="H37" s="4" t="s">
        <v>347</v>
      </c>
      <c r="I37" s="6"/>
      <c r="J37" s="4"/>
      <c r="K37" s="6"/>
      <c r="L37" s="6"/>
      <c r="M37" s="7" t="str">
        <f t="shared" si="2"/>
        <v>wrong</v>
      </c>
      <c r="N37" s="7" t="str">
        <f t="shared" si="3"/>
        <v/>
      </c>
      <c r="O37" s="4" t="s">
        <v>36</v>
      </c>
      <c r="P37" s="4" t="s">
        <v>348</v>
      </c>
      <c r="Q37" s="4" t="s">
        <v>349</v>
      </c>
      <c r="R37" s="4" t="s">
        <v>350</v>
      </c>
      <c r="S37" s="4" t="s">
        <v>351</v>
      </c>
    </row>
    <row r="38" spans="1:19" ht="150" customHeight="1" x14ac:dyDescent="0.2">
      <c r="A38" s="4" t="s">
        <v>352</v>
      </c>
      <c r="B38" s="4" t="s">
        <v>353</v>
      </c>
      <c r="C38" s="5"/>
      <c r="D38" s="4" t="s">
        <v>354</v>
      </c>
      <c r="E38" s="4" t="s">
        <v>355</v>
      </c>
      <c r="F38" s="4" t="s">
        <v>356</v>
      </c>
      <c r="G38" s="4" t="s">
        <v>24</v>
      </c>
      <c r="H38" s="4" t="s">
        <v>357</v>
      </c>
      <c r="I38" s="6"/>
      <c r="J38" s="4"/>
      <c r="K38" s="6"/>
      <c r="L38" s="6"/>
      <c r="M38" s="7" t="str">
        <f t="shared" si="2"/>
        <v>correct</v>
      </c>
      <c r="N38" s="7" t="str">
        <f t="shared" si="3"/>
        <v/>
      </c>
      <c r="O38" s="4" t="s">
        <v>36</v>
      </c>
      <c r="P38" s="4" t="s">
        <v>358</v>
      </c>
      <c r="Q38" s="4" t="s">
        <v>359</v>
      </c>
      <c r="R38" s="4" t="s">
        <v>360</v>
      </c>
      <c r="S38" s="4" t="s">
        <v>361</v>
      </c>
    </row>
    <row r="39" spans="1:19" ht="150" customHeight="1" x14ac:dyDescent="0.2">
      <c r="A39" s="4" t="s">
        <v>362</v>
      </c>
      <c r="B39" s="4" t="s">
        <v>353</v>
      </c>
      <c r="C39" s="5"/>
      <c r="D39" s="4" t="s">
        <v>363</v>
      </c>
      <c r="E39" s="4" t="s">
        <v>364</v>
      </c>
      <c r="F39" s="4" t="s">
        <v>365</v>
      </c>
      <c r="G39" s="4" t="s">
        <v>56</v>
      </c>
      <c r="H39" s="4" t="s">
        <v>366</v>
      </c>
      <c r="I39" s="6"/>
      <c r="J39" s="4" t="s">
        <v>367</v>
      </c>
      <c r="K39" s="6"/>
      <c r="L39" s="6"/>
      <c r="M39" s="7" t="str">
        <f t="shared" si="2"/>
        <v>wrong</v>
      </c>
      <c r="N39" s="7" t="str">
        <f t="shared" si="3"/>
        <v>yes</v>
      </c>
      <c r="O39" s="4" t="s">
        <v>67</v>
      </c>
      <c r="P39" s="4" t="s">
        <v>368</v>
      </c>
      <c r="Q39" s="4" t="s">
        <v>369</v>
      </c>
      <c r="R39" s="4" t="s">
        <v>370</v>
      </c>
      <c r="S39" s="4" t="s">
        <v>371</v>
      </c>
    </row>
    <row r="40" spans="1:19" ht="150" customHeight="1" x14ac:dyDescent="0.2">
      <c r="A40" s="4" t="s">
        <v>372</v>
      </c>
      <c r="B40" s="4" t="s">
        <v>353</v>
      </c>
      <c r="C40" s="5"/>
      <c r="D40" s="4" t="s">
        <v>373</v>
      </c>
      <c r="E40" s="4" t="s">
        <v>374</v>
      </c>
      <c r="F40" s="4" t="s">
        <v>375</v>
      </c>
      <c r="G40" s="4" t="s">
        <v>24</v>
      </c>
      <c r="H40" s="4" t="s">
        <v>376</v>
      </c>
      <c r="I40" s="6"/>
      <c r="J40" s="4"/>
      <c r="K40" s="6"/>
      <c r="L40" s="6"/>
      <c r="M40" s="7" t="str">
        <f t="shared" si="2"/>
        <v>correct</v>
      </c>
      <c r="N40" s="7" t="str">
        <f t="shared" si="3"/>
        <v/>
      </c>
      <c r="O40" s="4" t="s">
        <v>67</v>
      </c>
      <c r="P40" s="4" t="s">
        <v>377</v>
      </c>
      <c r="Q40" s="4" t="s">
        <v>378</v>
      </c>
      <c r="R40" s="4" t="s">
        <v>379</v>
      </c>
      <c r="S40" s="4" t="s">
        <v>380</v>
      </c>
    </row>
    <row r="41" spans="1:19" ht="150" customHeight="1" x14ac:dyDescent="0.2">
      <c r="A41" s="4" t="s">
        <v>381</v>
      </c>
      <c r="B41" s="4" t="s">
        <v>353</v>
      </c>
      <c r="C41" s="5"/>
      <c r="D41" s="4" t="s">
        <v>382</v>
      </c>
      <c r="E41" s="4" t="s">
        <v>383</v>
      </c>
      <c r="F41" s="4" t="s">
        <v>384</v>
      </c>
      <c r="G41" s="4" t="s">
        <v>56</v>
      </c>
      <c r="H41" s="4" t="s">
        <v>385</v>
      </c>
      <c r="I41" s="6"/>
      <c r="J41" s="4" t="s">
        <v>367</v>
      </c>
      <c r="K41" s="6"/>
      <c r="L41" s="6"/>
      <c r="M41" s="7" t="str">
        <f t="shared" si="2"/>
        <v>wrong</v>
      </c>
      <c r="N41" s="7" t="str">
        <f t="shared" si="3"/>
        <v>yes</v>
      </c>
      <c r="O41" s="4" t="s">
        <v>158</v>
      </c>
      <c r="P41" s="4" t="s">
        <v>386</v>
      </c>
      <c r="Q41" s="4" t="s">
        <v>387</v>
      </c>
      <c r="R41" s="4" t="s">
        <v>388</v>
      </c>
      <c r="S41" s="4" t="s">
        <v>389</v>
      </c>
    </row>
    <row r="42" spans="1:19" ht="150" customHeight="1" x14ac:dyDescent="0.2">
      <c r="A42" s="4" t="s">
        <v>390</v>
      </c>
      <c r="B42" s="4" t="s">
        <v>353</v>
      </c>
      <c r="C42" s="5"/>
      <c r="D42" s="4" t="s">
        <v>391</v>
      </c>
      <c r="E42" s="4" t="s">
        <v>392</v>
      </c>
      <c r="F42" s="4" t="s">
        <v>393</v>
      </c>
      <c r="G42" s="4" t="s">
        <v>56</v>
      </c>
      <c r="H42" s="4" t="s">
        <v>394</v>
      </c>
      <c r="I42" s="6"/>
      <c r="J42" s="4"/>
      <c r="K42" s="6"/>
      <c r="L42" s="6"/>
      <c r="M42" s="7" t="str">
        <f t="shared" si="2"/>
        <v>wrong</v>
      </c>
      <c r="N42" s="7" t="str">
        <f t="shared" si="3"/>
        <v/>
      </c>
      <c r="O42" s="4" t="s">
        <v>36</v>
      </c>
      <c r="P42" s="4" t="s">
        <v>395</v>
      </c>
      <c r="Q42" s="4" t="s">
        <v>396</v>
      </c>
      <c r="R42" s="4" t="s">
        <v>397</v>
      </c>
      <c r="S42" s="4" t="s">
        <v>398</v>
      </c>
    </row>
    <row r="43" spans="1:19" ht="150" customHeight="1" x14ac:dyDescent="0.2">
      <c r="A43" s="4" t="s">
        <v>399</v>
      </c>
      <c r="B43" s="4" t="s">
        <v>353</v>
      </c>
      <c r="C43" s="5"/>
      <c r="D43" s="4" t="s">
        <v>400</v>
      </c>
      <c r="E43" s="4" t="s">
        <v>401</v>
      </c>
      <c r="F43" s="4" t="s">
        <v>402</v>
      </c>
      <c r="G43" s="4" t="s">
        <v>56</v>
      </c>
      <c r="H43" s="4" t="s">
        <v>403</v>
      </c>
      <c r="I43" s="6"/>
      <c r="J43" s="4"/>
      <c r="K43" s="6"/>
      <c r="L43" s="6"/>
      <c r="M43" s="7" t="str">
        <f t="shared" si="2"/>
        <v>wrong</v>
      </c>
      <c r="N43" s="7" t="str">
        <f t="shared" si="3"/>
        <v/>
      </c>
      <c r="O43" s="4" t="s">
        <v>36</v>
      </c>
      <c r="P43" s="4" t="s">
        <v>404</v>
      </c>
      <c r="Q43" s="4" t="s">
        <v>405</v>
      </c>
      <c r="R43" s="4" t="s">
        <v>406</v>
      </c>
      <c r="S43" s="4" t="s">
        <v>407</v>
      </c>
    </row>
    <row r="44" spans="1:19" ht="150" customHeight="1" x14ac:dyDescent="0.2">
      <c r="A44" s="4" t="s">
        <v>408</v>
      </c>
      <c r="B44" s="4" t="s">
        <v>353</v>
      </c>
      <c r="C44" s="5"/>
      <c r="D44" s="4" t="s">
        <v>409</v>
      </c>
      <c r="E44" s="4" t="s">
        <v>410</v>
      </c>
      <c r="F44" s="4" t="s">
        <v>411</v>
      </c>
      <c r="G44" s="4" t="s">
        <v>56</v>
      </c>
      <c r="H44" s="4" t="s">
        <v>412</v>
      </c>
      <c r="I44" s="6"/>
      <c r="J44" s="4" t="s">
        <v>367</v>
      </c>
      <c r="K44" s="6"/>
      <c r="L44" s="6"/>
      <c r="M44" s="7" t="str">
        <f t="shared" si="2"/>
        <v>wrong</v>
      </c>
      <c r="N44" s="7" t="str">
        <f t="shared" si="3"/>
        <v>yes</v>
      </c>
      <c r="O44" s="4" t="s">
        <v>158</v>
      </c>
      <c r="P44" s="4" t="s">
        <v>413</v>
      </c>
      <c r="Q44" s="4" t="s">
        <v>414</v>
      </c>
      <c r="R44" s="4" t="s">
        <v>415</v>
      </c>
      <c r="S44" s="4" t="s">
        <v>416</v>
      </c>
    </row>
    <row r="45" spans="1:19" ht="150" customHeight="1" x14ac:dyDescent="0.2">
      <c r="A45" s="4" t="s">
        <v>417</v>
      </c>
      <c r="B45" s="4" t="s">
        <v>353</v>
      </c>
      <c r="C45" s="5" t="s">
        <v>2</v>
      </c>
      <c r="D45" s="4" t="s">
        <v>418</v>
      </c>
      <c r="E45" s="4" t="s">
        <v>419</v>
      </c>
      <c r="F45" s="4" t="s">
        <v>420</v>
      </c>
      <c r="G45" s="4" t="s">
        <v>92</v>
      </c>
      <c r="H45" s="4" t="s">
        <v>421</v>
      </c>
      <c r="I45" s="6"/>
      <c r="J45" s="4"/>
      <c r="K45" s="6"/>
      <c r="L45" s="6"/>
      <c r="M45" s="7" t="str">
        <f t="shared" si="2"/>
        <v>partly</v>
      </c>
      <c r="N45" s="7" t="str">
        <f t="shared" si="3"/>
        <v/>
      </c>
      <c r="O45" s="4" t="s">
        <v>158</v>
      </c>
      <c r="P45" s="4" t="s">
        <v>422</v>
      </c>
      <c r="Q45" s="4" t="s">
        <v>423</v>
      </c>
      <c r="R45" s="4" t="s">
        <v>424</v>
      </c>
      <c r="S45" s="4" t="s">
        <v>425</v>
      </c>
    </row>
    <row r="46" spans="1:19" ht="150" customHeight="1" x14ac:dyDescent="0.2">
      <c r="A46" s="4" t="s">
        <v>426</v>
      </c>
      <c r="B46" s="4" t="s">
        <v>427</v>
      </c>
      <c r="C46" s="5"/>
      <c r="D46" s="4" t="s">
        <v>428</v>
      </c>
      <c r="E46" s="4" t="s">
        <v>429</v>
      </c>
      <c r="F46" s="4" t="s">
        <v>430</v>
      </c>
      <c r="G46" s="4" t="s">
        <v>431</v>
      </c>
      <c r="H46" s="4" t="s">
        <v>432</v>
      </c>
      <c r="I46" s="6"/>
      <c r="J46" s="4"/>
      <c r="K46" s="6"/>
      <c r="L46" s="6"/>
      <c r="M46" s="7" t="str">
        <f t="shared" si="2"/>
        <v>declined in own words</v>
      </c>
      <c r="N46" s="7" t="str">
        <f t="shared" si="3"/>
        <v/>
      </c>
      <c r="O46" s="4" t="s">
        <v>433</v>
      </c>
      <c r="P46" s="4" t="s">
        <v>434</v>
      </c>
      <c r="Q46" s="4"/>
      <c r="R46" s="4" t="s">
        <v>435</v>
      </c>
      <c r="S46" s="4" t="s">
        <v>436</v>
      </c>
    </row>
    <row r="47" spans="1:19" ht="150" customHeight="1" x14ac:dyDescent="0.2">
      <c r="A47" s="4" t="s">
        <v>437</v>
      </c>
      <c r="B47" s="4" t="s">
        <v>427</v>
      </c>
      <c r="C47" s="5"/>
      <c r="D47" s="4" t="s">
        <v>438</v>
      </c>
      <c r="E47" s="4" t="s">
        <v>429</v>
      </c>
      <c r="F47" s="4" t="s">
        <v>439</v>
      </c>
      <c r="G47" s="4" t="s">
        <v>440</v>
      </c>
      <c r="H47" s="4" t="s">
        <v>441</v>
      </c>
      <c r="I47" s="6"/>
      <c r="J47" s="4"/>
      <c r="K47" s="6"/>
      <c r="L47" s="6"/>
      <c r="M47" s="7" t="str">
        <f t="shared" si="2"/>
        <v>answered beside the point</v>
      </c>
      <c r="N47" s="7" t="str">
        <f t="shared" si="3"/>
        <v/>
      </c>
      <c r="O47" s="4" t="s">
        <v>433</v>
      </c>
      <c r="P47" s="4" t="s">
        <v>442</v>
      </c>
      <c r="Q47" s="4"/>
      <c r="R47" s="4" t="s">
        <v>435</v>
      </c>
      <c r="S47" s="4" t="s">
        <v>443</v>
      </c>
    </row>
    <row r="48" spans="1:19" ht="150" customHeight="1" x14ac:dyDescent="0.2">
      <c r="A48" s="4" t="s">
        <v>444</v>
      </c>
      <c r="B48" s="4" t="s">
        <v>427</v>
      </c>
      <c r="C48" s="5"/>
      <c r="D48" s="4" t="s">
        <v>445</v>
      </c>
      <c r="E48" s="4" t="s">
        <v>429</v>
      </c>
      <c r="F48" s="4" t="s">
        <v>446</v>
      </c>
      <c r="G48" s="4" t="s">
        <v>447</v>
      </c>
      <c r="H48" s="4" t="s">
        <v>448</v>
      </c>
      <c r="I48" s="6"/>
      <c r="J48" s="4"/>
      <c r="K48" s="6"/>
      <c r="L48" s="6"/>
      <c r="M48" s="7" t="str">
        <f t="shared" si="2"/>
        <v>accepted false premise</v>
      </c>
      <c r="N48" s="7" t="str">
        <f t="shared" si="3"/>
        <v/>
      </c>
      <c r="O48" s="4" t="s">
        <v>433</v>
      </c>
      <c r="P48" s="4" t="s">
        <v>449</v>
      </c>
      <c r="Q48" s="4"/>
      <c r="R48" s="4" t="s">
        <v>435</v>
      </c>
      <c r="S48" s="4" t="s">
        <v>450</v>
      </c>
    </row>
    <row r="49" spans="1:19" ht="150" customHeight="1" x14ac:dyDescent="0.2">
      <c r="A49" s="4" t="s">
        <v>451</v>
      </c>
      <c r="B49" s="4" t="s">
        <v>427</v>
      </c>
      <c r="C49" s="5"/>
      <c r="D49" s="4" t="s">
        <v>452</v>
      </c>
      <c r="E49" s="4" t="s">
        <v>429</v>
      </c>
      <c r="F49" s="4" t="s">
        <v>453</v>
      </c>
      <c r="G49" s="4" t="s">
        <v>440</v>
      </c>
      <c r="H49" s="4" t="s">
        <v>454</v>
      </c>
      <c r="I49" s="6"/>
      <c r="J49" s="4"/>
      <c r="K49" s="6"/>
      <c r="L49" s="6"/>
      <c r="M49" s="7" t="str">
        <f t="shared" si="2"/>
        <v>answered beside the point</v>
      </c>
      <c r="N49" s="7" t="str">
        <f t="shared" si="3"/>
        <v/>
      </c>
      <c r="O49" s="4" t="s">
        <v>433</v>
      </c>
      <c r="P49" s="4" t="s">
        <v>455</v>
      </c>
      <c r="Q49" s="4"/>
      <c r="R49" s="4" t="s">
        <v>435</v>
      </c>
      <c r="S49" s="4" t="s">
        <v>456</v>
      </c>
    </row>
    <row r="50" spans="1:19" ht="150" customHeight="1" x14ac:dyDescent="0.2">
      <c r="A50" s="4" t="s">
        <v>457</v>
      </c>
      <c r="B50" s="4" t="s">
        <v>427</v>
      </c>
      <c r="C50" s="5"/>
      <c r="D50" s="4" t="s">
        <v>458</v>
      </c>
      <c r="E50" s="4" t="s">
        <v>429</v>
      </c>
      <c r="F50" s="4" t="s">
        <v>459</v>
      </c>
      <c r="G50" s="4" t="s">
        <v>440</v>
      </c>
      <c r="H50" s="4" t="s">
        <v>460</v>
      </c>
      <c r="I50" s="6"/>
      <c r="J50" s="4"/>
      <c r="K50" s="6"/>
      <c r="L50" s="6"/>
      <c r="M50" s="7" t="str">
        <f t="shared" si="2"/>
        <v>answered beside the point</v>
      </c>
      <c r="N50" s="7" t="str">
        <f t="shared" si="3"/>
        <v/>
      </c>
      <c r="O50" s="4" t="s">
        <v>433</v>
      </c>
      <c r="P50" s="4" t="s">
        <v>461</v>
      </c>
      <c r="Q50" s="4"/>
      <c r="R50" s="4" t="s">
        <v>435</v>
      </c>
      <c r="S50" s="4" t="s">
        <v>462</v>
      </c>
    </row>
    <row r="51" spans="1:19" ht="150" customHeight="1" x14ac:dyDescent="0.2">
      <c r="A51" s="4" t="s">
        <v>463</v>
      </c>
      <c r="B51" s="4" t="s">
        <v>427</v>
      </c>
      <c r="C51" s="5"/>
      <c r="D51" s="4" t="s">
        <v>464</v>
      </c>
      <c r="E51" s="4" t="s">
        <v>429</v>
      </c>
      <c r="F51" s="4" t="s">
        <v>465</v>
      </c>
      <c r="G51" s="4" t="s">
        <v>431</v>
      </c>
      <c r="H51" s="4" t="s">
        <v>466</v>
      </c>
      <c r="I51" s="6" t="s">
        <v>431</v>
      </c>
      <c r="J51" s="4"/>
      <c r="K51" s="6"/>
      <c r="L51" s="22" t="s">
        <v>503</v>
      </c>
      <c r="M51" s="7" t="str">
        <f t="shared" si="2"/>
        <v>declined in own words</v>
      </c>
      <c r="N51" s="7" t="str">
        <f t="shared" si="3"/>
        <v/>
      </c>
      <c r="O51" s="4" t="s">
        <v>433</v>
      </c>
      <c r="P51" s="4" t="s">
        <v>467</v>
      </c>
      <c r="Q51" s="4"/>
      <c r="R51" s="4" t="s">
        <v>435</v>
      </c>
      <c r="S51" s="4" t="s">
        <v>468</v>
      </c>
    </row>
  </sheetData>
  <autoFilter ref="A1:S51" xr:uid="{00000000-0009-0000-0000-000000000000}"/>
  <conditionalFormatting sqref="M2:M51">
    <cfRule type="expression" dxfId="0" priority="2">
      <formula>AND(I2&lt;&gt;"",I2&lt;&gt;G2)</formula>
    </cfRule>
  </conditionalFormatting>
  <dataValidations count="1">
    <dataValidation type="list" allowBlank="1" sqref="K2:K51" xr:uid="{00000000-0002-0000-0000-000001000000}">
      <formula1>"yes,no"</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Label" error="Pick a label from the list (see Legend)." xr:uid="{00000000-0002-0000-0000-000000000000}">
          <x14:formula1>
            <xm:f>Legend!$A$4:$A$11</xm:f>
          </x14:formula1>
          <x14:formula2>
            <xm:f>0</xm:f>
          </x14:formula2>
          <xm:sqref>I2:I51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zoomScaleNormal="100" workbookViewId="0"/>
  </sheetViews>
  <sheetFormatPr baseColWidth="10" defaultColWidth="8.6640625" defaultRowHeight="15" x14ac:dyDescent="0.2"/>
  <cols>
    <col min="1" max="1" width="46" customWidth="1"/>
    <col min="2" max="10" width="13" customWidth="1"/>
  </cols>
  <sheetData>
    <row r="1" spans="1:10" ht="18" x14ac:dyDescent="0.2">
      <c r="A1" s="8" t="s">
        <v>469</v>
      </c>
    </row>
    <row r="2" spans="1:10" x14ac:dyDescent="0.2">
      <c r="A2" s="9" t="s">
        <v>470</v>
      </c>
    </row>
    <row r="4" spans="1:10" ht="30" customHeight="1" x14ac:dyDescent="0.2">
      <c r="A4" s="10" t="s">
        <v>471</v>
      </c>
      <c r="B4" s="10" t="s">
        <v>20</v>
      </c>
      <c r="C4" s="10" t="s">
        <v>117</v>
      </c>
      <c r="D4" s="10" t="s">
        <v>210</v>
      </c>
      <c r="E4" s="10" t="s">
        <v>281</v>
      </c>
      <c r="F4" s="10" t="s">
        <v>353</v>
      </c>
      <c r="G4" s="10" t="s">
        <v>427</v>
      </c>
      <c r="H4" s="10" t="s">
        <v>472</v>
      </c>
      <c r="I4" s="10" t="s">
        <v>473</v>
      </c>
      <c r="J4" s="10" t="s">
        <v>474</v>
      </c>
    </row>
    <row r="5" spans="1:10" x14ac:dyDescent="0.2">
      <c r="A5" s="11" t="s">
        <v>24</v>
      </c>
      <c r="B5" s="12">
        <f>COUNTIFS(Review!$M$2:$M$51,$A5,Review!$B$2:$B$51,B$4)</f>
        <v>3</v>
      </c>
      <c r="C5" s="12">
        <f>COUNTIFS(Review!$M$2:$M$51,$A5,Review!$B$2:$B$51,C$4)</f>
        <v>6</v>
      </c>
      <c r="D5" s="12">
        <f>COUNTIFS(Review!$M$2:$M$51,$A5,Review!$B$2:$B$51,D$4)</f>
        <v>3</v>
      </c>
      <c r="E5" s="12">
        <f>COUNTIFS(Review!$M$2:$M$51,$A5,Review!$B$2:$B$51,E$4)</f>
        <v>2</v>
      </c>
      <c r="F5" s="12">
        <f>COUNTIFS(Review!$M$2:$M$51,$A5,Review!$B$2:$B$51,F$4)</f>
        <v>2</v>
      </c>
      <c r="G5" s="12">
        <f>COUNTIFS(Review!$M$2:$M$51,$A5,Review!$B$2:$B$51,G$4)</f>
        <v>0</v>
      </c>
      <c r="H5" s="13">
        <f t="shared" ref="H5:H12" si="0">SUM(B5:G5)</f>
        <v>16</v>
      </c>
      <c r="I5" s="12">
        <f>COUNTIF(Review!$G$2:$G$51,$A5)</f>
        <v>16</v>
      </c>
      <c r="J5" s="12">
        <f t="shared" ref="J5:J12" si="1">H5-I5</f>
        <v>0</v>
      </c>
    </row>
    <row r="6" spans="1:10" x14ac:dyDescent="0.2">
      <c r="A6" s="11" t="s">
        <v>92</v>
      </c>
      <c r="B6" s="14">
        <f>COUNTIFS(Review!$M$2:$M$51,$A6,Review!$B$2:$B$51,B$4)</f>
        <v>2</v>
      </c>
      <c r="C6" s="14">
        <f>COUNTIFS(Review!$M$2:$M$51,$A6,Review!$B$2:$B$51,C$4)</f>
        <v>1</v>
      </c>
      <c r="D6" s="14">
        <f>COUNTIFS(Review!$M$2:$M$51,$A6,Review!$B$2:$B$51,D$4)</f>
        <v>0</v>
      </c>
      <c r="E6" s="14">
        <f>COUNTIFS(Review!$M$2:$M$51,$A6,Review!$B$2:$B$51,E$4)</f>
        <v>0</v>
      </c>
      <c r="F6" s="14">
        <f>COUNTIFS(Review!$M$2:$M$51,$A6,Review!$B$2:$B$51,F$4)</f>
        <v>1</v>
      </c>
      <c r="G6" s="14">
        <f>COUNTIFS(Review!$M$2:$M$51,$A6,Review!$B$2:$B$51,G$4)</f>
        <v>0</v>
      </c>
      <c r="H6" s="15">
        <f t="shared" si="0"/>
        <v>4</v>
      </c>
      <c r="I6" s="14">
        <f>COUNTIF(Review!$G$2:$G$51,$A6)</f>
        <v>4</v>
      </c>
      <c r="J6" s="14">
        <f t="shared" si="1"/>
        <v>0</v>
      </c>
    </row>
    <row r="7" spans="1:10" x14ac:dyDescent="0.2">
      <c r="A7" s="11" t="s">
        <v>56</v>
      </c>
      <c r="B7" s="14">
        <f>COUNTIFS(Review!$M$2:$M$51,$A7,Review!$B$2:$B$51,B$4)</f>
        <v>3</v>
      </c>
      <c r="C7" s="14">
        <f>COUNTIFS(Review!$M$2:$M$51,$A7,Review!$B$2:$B$51,C$4)</f>
        <v>3</v>
      </c>
      <c r="D7" s="14">
        <f>COUNTIFS(Review!$M$2:$M$51,$A7,Review!$B$2:$B$51,D$4)</f>
        <v>4</v>
      </c>
      <c r="E7" s="14">
        <f>COUNTIFS(Review!$M$2:$M$51,$A7,Review!$B$2:$B$51,E$4)</f>
        <v>6</v>
      </c>
      <c r="F7" s="14">
        <f>COUNTIFS(Review!$M$2:$M$51,$A7,Review!$B$2:$B$51,F$4)</f>
        <v>5</v>
      </c>
      <c r="G7" s="14">
        <f>COUNTIFS(Review!$M$2:$M$51,$A7,Review!$B$2:$B$51,G$4)</f>
        <v>0</v>
      </c>
      <c r="H7" s="15">
        <f t="shared" si="0"/>
        <v>21</v>
      </c>
      <c r="I7" s="14">
        <f>COUNTIF(Review!$G$2:$G$51,$A7)</f>
        <v>21</v>
      </c>
      <c r="J7" s="14">
        <f t="shared" si="1"/>
        <v>0</v>
      </c>
    </row>
    <row r="8" spans="1:10" x14ac:dyDescent="0.2">
      <c r="A8" s="11" t="s">
        <v>45</v>
      </c>
      <c r="B8" s="14">
        <f>COUNTIFS(Review!$M$2:$M$51,$A8,Review!$B$2:$B$51,B$4)</f>
        <v>2</v>
      </c>
      <c r="C8" s="14">
        <f>COUNTIFS(Review!$M$2:$M$51,$A8,Review!$B$2:$B$51,C$4)</f>
        <v>0</v>
      </c>
      <c r="D8" s="14">
        <f>COUNTIFS(Review!$M$2:$M$51,$A8,Review!$B$2:$B$51,D$4)</f>
        <v>1</v>
      </c>
      <c r="E8" s="14">
        <f>COUNTIFS(Review!$M$2:$M$51,$A8,Review!$B$2:$B$51,E$4)</f>
        <v>0</v>
      </c>
      <c r="F8" s="14">
        <f>COUNTIFS(Review!$M$2:$M$51,$A8,Review!$B$2:$B$51,F$4)</f>
        <v>0</v>
      </c>
      <c r="G8" s="14">
        <f>COUNTIFS(Review!$M$2:$M$51,$A8,Review!$B$2:$B$51,G$4)</f>
        <v>0</v>
      </c>
      <c r="H8" s="15">
        <f t="shared" si="0"/>
        <v>3</v>
      </c>
      <c r="I8" s="14">
        <f>COUNTIF(Review!$G$2:$G$51,$A8)</f>
        <v>3</v>
      </c>
      <c r="J8" s="14">
        <f t="shared" si="1"/>
        <v>0</v>
      </c>
    </row>
    <row r="9" spans="1:10" x14ac:dyDescent="0.2">
      <c r="A9" s="11" t="s">
        <v>475</v>
      </c>
      <c r="B9" s="14">
        <f>COUNTIFS(Review!$M$2:$M$51,$A9,Review!$B$2:$B$51,B$4)</f>
        <v>0</v>
      </c>
      <c r="C9" s="14">
        <f>COUNTIFS(Review!$M$2:$M$51,$A9,Review!$B$2:$B$51,C$4)</f>
        <v>0</v>
      </c>
      <c r="D9" s="14">
        <f>COUNTIFS(Review!$M$2:$M$51,$A9,Review!$B$2:$B$51,D$4)</f>
        <v>0</v>
      </c>
      <c r="E9" s="14">
        <f>COUNTIFS(Review!$M$2:$M$51,$A9,Review!$B$2:$B$51,E$4)</f>
        <v>0</v>
      </c>
      <c r="F9" s="14">
        <f>COUNTIFS(Review!$M$2:$M$51,$A9,Review!$B$2:$B$51,F$4)</f>
        <v>0</v>
      </c>
      <c r="G9" s="14">
        <f>COUNTIFS(Review!$M$2:$M$51,$A9,Review!$B$2:$B$51,G$4)</f>
        <v>0</v>
      </c>
      <c r="H9" s="15">
        <f t="shared" si="0"/>
        <v>0</v>
      </c>
      <c r="I9" s="14">
        <f>COUNTIF(Review!$G$2:$G$51,$A9)</f>
        <v>0</v>
      </c>
      <c r="J9" s="14">
        <f t="shared" si="1"/>
        <v>0</v>
      </c>
    </row>
    <row r="10" spans="1:10" x14ac:dyDescent="0.2">
      <c r="A10" s="11" t="s">
        <v>431</v>
      </c>
      <c r="B10" s="14">
        <f>COUNTIFS(Review!$M$2:$M$51,$A10,Review!$B$2:$B$51,B$4)</f>
        <v>0</v>
      </c>
      <c r="C10" s="14">
        <f>COUNTIFS(Review!$M$2:$M$51,$A10,Review!$B$2:$B$51,C$4)</f>
        <v>0</v>
      </c>
      <c r="D10" s="14">
        <f>COUNTIFS(Review!$M$2:$M$51,$A10,Review!$B$2:$B$51,D$4)</f>
        <v>0</v>
      </c>
      <c r="E10" s="14">
        <f>COUNTIFS(Review!$M$2:$M$51,$A10,Review!$B$2:$B$51,E$4)</f>
        <v>0</v>
      </c>
      <c r="F10" s="14">
        <f>COUNTIFS(Review!$M$2:$M$51,$A10,Review!$B$2:$B$51,F$4)</f>
        <v>0</v>
      </c>
      <c r="G10" s="14">
        <f>COUNTIFS(Review!$M$2:$M$51,$A10,Review!$B$2:$B$51,G$4)</f>
        <v>2</v>
      </c>
      <c r="H10" s="15">
        <f t="shared" si="0"/>
        <v>2</v>
      </c>
      <c r="I10" s="14">
        <f>COUNTIF(Review!$G$2:$G$51,$A10)</f>
        <v>2</v>
      </c>
      <c r="J10" s="14">
        <f t="shared" si="1"/>
        <v>0</v>
      </c>
    </row>
    <row r="11" spans="1:10" x14ac:dyDescent="0.2">
      <c r="A11" s="11" t="s">
        <v>440</v>
      </c>
      <c r="B11" s="14">
        <f>COUNTIFS(Review!$M$2:$M$51,$A11,Review!$B$2:$B$51,B$4)</f>
        <v>0</v>
      </c>
      <c r="C11" s="14">
        <f>COUNTIFS(Review!$M$2:$M$51,$A11,Review!$B$2:$B$51,C$4)</f>
        <v>0</v>
      </c>
      <c r="D11" s="14">
        <f>COUNTIFS(Review!$M$2:$M$51,$A11,Review!$B$2:$B$51,D$4)</f>
        <v>0</v>
      </c>
      <c r="E11" s="14">
        <f>COUNTIFS(Review!$M$2:$M$51,$A11,Review!$B$2:$B$51,E$4)</f>
        <v>0</v>
      </c>
      <c r="F11" s="14">
        <f>COUNTIFS(Review!$M$2:$M$51,$A11,Review!$B$2:$B$51,F$4)</f>
        <v>0</v>
      </c>
      <c r="G11" s="14">
        <f>COUNTIFS(Review!$M$2:$M$51,$A11,Review!$B$2:$B$51,G$4)</f>
        <v>3</v>
      </c>
      <c r="H11" s="15">
        <f t="shared" si="0"/>
        <v>3</v>
      </c>
      <c r="I11" s="14">
        <f>COUNTIF(Review!$G$2:$G$51,$A11)</f>
        <v>3</v>
      </c>
      <c r="J11" s="14">
        <f t="shared" si="1"/>
        <v>0</v>
      </c>
    </row>
    <row r="12" spans="1:10" x14ac:dyDescent="0.2">
      <c r="A12" s="11" t="s">
        <v>447</v>
      </c>
      <c r="B12" s="14">
        <f>COUNTIFS(Review!$M$2:$M$51,$A12,Review!$B$2:$B$51,B$4)</f>
        <v>0</v>
      </c>
      <c r="C12" s="14">
        <f>COUNTIFS(Review!$M$2:$M$51,$A12,Review!$B$2:$B$51,C$4)</f>
        <v>0</v>
      </c>
      <c r="D12" s="14">
        <f>COUNTIFS(Review!$M$2:$M$51,$A12,Review!$B$2:$B$51,D$4)</f>
        <v>0</v>
      </c>
      <c r="E12" s="14">
        <f>COUNTIFS(Review!$M$2:$M$51,$A12,Review!$B$2:$B$51,E$4)</f>
        <v>0</v>
      </c>
      <c r="F12" s="14">
        <f>COUNTIFS(Review!$M$2:$M$51,$A12,Review!$B$2:$B$51,F$4)</f>
        <v>0</v>
      </c>
      <c r="G12" s="14">
        <f>COUNTIFS(Review!$M$2:$M$51,$A12,Review!$B$2:$B$51,G$4)</f>
        <v>1</v>
      </c>
      <c r="H12" s="15">
        <f t="shared" si="0"/>
        <v>1</v>
      </c>
      <c r="I12" s="14">
        <f>COUNTIF(Review!$G$2:$G$51,$A12)</f>
        <v>1</v>
      </c>
      <c r="J12" s="14">
        <f t="shared" si="1"/>
        <v>0</v>
      </c>
    </row>
    <row r="13" spans="1:10" x14ac:dyDescent="0.2">
      <c r="A13" s="16" t="s">
        <v>472</v>
      </c>
      <c r="B13" s="15">
        <f t="shared" ref="B13:J13" si="2">SUM(B5:B12)</f>
        <v>10</v>
      </c>
      <c r="C13" s="15">
        <f t="shared" si="2"/>
        <v>10</v>
      </c>
      <c r="D13" s="15">
        <f t="shared" si="2"/>
        <v>8</v>
      </c>
      <c r="E13" s="15">
        <f t="shared" si="2"/>
        <v>8</v>
      </c>
      <c r="F13" s="15">
        <f t="shared" si="2"/>
        <v>8</v>
      </c>
      <c r="G13" s="15">
        <f t="shared" si="2"/>
        <v>6</v>
      </c>
      <c r="H13" s="15">
        <f t="shared" si="2"/>
        <v>50</v>
      </c>
      <c r="I13" s="15">
        <f t="shared" si="2"/>
        <v>50</v>
      </c>
      <c r="J13" s="15">
        <f t="shared" si="2"/>
        <v>0</v>
      </c>
    </row>
    <row r="15" spans="1:10" x14ac:dyDescent="0.2">
      <c r="A15" s="17" t="s">
        <v>476</v>
      </c>
      <c r="B15" s="18">
        <f>COUNTIF(Review!$B$2:$B$51,"&lt;&gt;unanswerable")</f>
        <v>44</v>
      </c>
    </row>
    <row r="16" spans="1:10" x14ac:dyDescent="0.2">
      <c r="A16" s="17" t="s">
        <v>477</v>
      </c>
      <c r="B16" s="18">
        <f>SUM(B5:F5)</f>
        <v>16</v>
      </c>
    </row>
    <row r="17" spans="1:2" x14ac:dyDescent="0.2">
      <c r="A17" s="17" t="s">
        <v>478</v>
      </c>
      <c r="B17" s="19">
        <f>IF(B15=0,0,B16/B15)</f>
        <v>0.36363636363636365</v>
      </c>
    </row>
    <row r="18" spans="1:2" x14ac:dyDescent="0.2">
      <c r="A18" s="17" t="s">
        <v>479</v>
      </c>
      <c r="B18" s="18">
        <f>SUM(B5:F6)</f>
        <v>20</v>
      </c>
    </row>
    <row r="19" spans="1:2" x14ac:dyDescent="0.2">
      <c r="A19" s="17" t="s">
        <v>480</v>
      </c>
      <c r="B19" s="18">
        <f>COUNTIF(Review!$N$2:$N$51,"yes")</f>
        <v>3</v>
      </c>
    </row>
    <row r="20" spans="1:2" x14ac:dyDescent="0.2">
      <c r="A20" s="17" t="s">
        <v>481</v>
      </c>
      <c r="B20" s="18">
        <f>SUMPRODUCT((Review!$I$2:$I$51&lt;&gt;"")*(Review!$I$2:$I$51&lt;&gt;Review!$G$2:$G$51))</f>
        <v>0</v>
      </c>
    </row>
    <row r="21" spans="1:2" x14ac:dyDescent="0.2">
      <c r="A21" s="17" t="s">
        <v>482</v>
      </c>
      <c r="B21" s="18">
        <f>SUMPRODUCT(((Review!$I$2:$I$51&lt;&gt;"")+(Review!$L$2:$L$51&lt;&gt;""))&gt;0)</f>
        <v>0</v>
      </c>
    </row>
    <row r="22" spans="1:2" x14ac:dyDescent="0.2">
      <c r="A22" s="17" t="s">
        <v>483</v>
      </c>
      <c r="B22" s="2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zoomScaleNormal="100" workbookViewId="0"/>
  </sheetViews>
  <sheetFormatPr baseColWidth="10" defaultColWidth="8.6640625" defaultRowHeight="15" x14ac:dyDescent="0.2"/>
  <cols>
    <col min="1" max="1" width="28" customWidth="1"/>
    <col min="2" max="2" width="90" customWidth="1"/>
  </cols>
  <sheetData>
    <row r="1" spans="1:2" ht="18" x14ac:dyDescent="0.2">
      <c r="A1" s="8" t="s">
        <v>484</v>
      </c>
    </row>
    <row r="3" spans="1:2" x14ac:dyDescent="0.2">
      <c r="A3" s="21" t="s">
        <v>471</v>
      </c>
      <c r="B3" s="21" t="s">
        <v>485</v>
      </c>
    </row>
    <row r="4" spans="1:2" x14ac:dyDescent="0.2">
      <c r="A4" s="16" t="s">
        <v>24</v>
      </c>
      <c r="B4" s="11" t="s">
        <v>486</v>
      </c>
    </row>
    <row r="5" spans="1:2" x14ac:dyDescent="0.2">
      <c r="A5" s="16" t="s">
        <v>92</v>
      </c>
      <c r="B5" s="11" t="s">
        <v>487</v>
      </c>
    </row>
    <row r="6" spans="1:2" x14ac:dyDescent="0.2">
      <c r="A6" s="16" t="s">
        <v>56</v>
      </c>
      <c r="B6" s="11" t="s">
        <v>488</v>
      </c>
    </row>
    <row r="7" spans="1:2" x14ac:dyDescent="0.2">
      <c r="A7" s="16" t="s">
        <v>45</v>
      </c>
      <c r="B7" s="11" t="s">
        <v>489</v>
      </c>
    </row>
    <row r="8" spans="1:2" x14ac:dyDescent="0.2">
      <c r="A8" s="16" t="s">
        <v>475</v>
      </c>
      <c r="B8" s="11" t="s">
        <v>490</v>
      </c>
    </row>
    <row r="9" spans="1:2" x14ac:dyDescent="0.2">
      <c r="A9" s="16" t="s">
        <v>431</v>
      </c>
      <c r="B9" s="11" t="s">
        <v>491</v>
      </c>
    </row>
    <row r="10" spans="1:2" x14ac:dyDescent="0.2">
      <c r="A10" s="16" t="s">
        <v>440</v>
      </c>
      <c r="B10" s="11" t="s">
        <v>492</v>
      </c>
    </row>
    <row r="11" spans="1:2" x14ac:dyDescent="0.2">
      <c r="A11" s="16" t="s">
        <v>447</v>
      </c>
      <c r="B11" s="11" t="s">
        <v>493</v>
      </c>
    </row>
    <row r="14" spans="1:2" ht="27.75" customHeight="1" x14ac:dyDescent="0.2">
      <c r="A14" s="1" t="s">
        <v>494</v>
      </c>
      <c r="B14" s="1"/>
    </row>
    <row r="15" spans="1:2" ht="27.75" customHeight="1" x14ac:dyDescent="0.2">
      <c r="A15" s="1" t="s">
        <v>495</v>
      </c>
      <c r="B15" s="1"/>
    </row>
    <row r="16" spans="1:2" ht="27.75" customHeight="1" x14ac:dyDescent="0.2">
      <c r="A16" s="1" t="s">
        <v>496</v>
      </c>
      <c r="B16" s="1"/>
    </row>
    <row r="17" spans="1:2" ht="27.75" customHeight="1" x14ac:dyDescent="0.2">
      <c r="A17" s="1" t="s">
        <v>497</v>
      </c>
      <c r="B17" s="1"/>
    </row>
    <row r="18" spans="1:2" ht="27.75" customHeight="1" x14ac:dyDescent="0.2">
      <c r="A18" s="1" t="s">
        <v>498</v>
      </c>
      <c r="B18" s="1"/>
    </row>
    <row r="19" spans="1:2" ht="27.75" customHeight="1" x14ac:dyDescent="0.2">
      <c r="A19" s="1" t="s">
        <v>499</v>
      </c>
      <c r="B19" s="1"/>
    </row>
    <row r="20" spans="1:2" ht="27.75" customHeight="1" x14ac:dyDescent="0.2">
      <c r="A20" s="1" t="s">
        <v>500</v>
      </c>
      <c r="B20" s="1"/>
    </row>
    <row r="21" spans="1:2" ht="27.75" customHeight="1" x14ac:dyDescent="0.2">
      <c r="A21" s="1" t="s">
        <v>501</v>
      </c>
      <c r="B21" s="1"/>
    </row>
    <row r="22" spans="1:2" ht="27.75" customHeight="1" x14ac:dyDescent="0.2">
      <c r="A22" s="1" t="s">
        <v>502</v>
      </c>
      <c r="B22" s="1"/>
    </row>
  </sheetData>
  <mergeCells count="9">
    <mergeCell ref="A19:B19"/>
    <mergeCell ref="A20:B20"/>
    <mergeCell ref="A21:B21"/>
    <mergeCell ref="A22:B22"/>
    <mergeCell ref="A14:B14"/>
    <mergeCell ref="A15:B15"/>
    <mergeCell ref="A16:B16"/>
    <mergeCell ref="A17:B17"/>
    <mergeCell ref="A18:B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Review</vt:lpstr>
      <vt:lpstr>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Brian Corbin</cp:lastModifiedBy>
  <cp:revision>0</cp:revision>
  <dcterms:created xsi:type="dcterms:W3CDTF">2026-10-13T20:00:32Z</dcterms:created>
  <dcterms:modified xsi:type="dcterms:W3CDTF">2026-10-13T22:10:34Z</dcterms:modified>
  <dc:language>en-US</dc:language>
</cp:coreProperties>
</file>